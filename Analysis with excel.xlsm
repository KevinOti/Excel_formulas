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esktop\New folder\"/>
    </mc:Choice>
  </mc:AlternateContent>
  <xr:revisionPtr revIDLastSave="0" documentId="13_ncr:1_{09FC013C-2D8C-4FE3-90D0-8AEE2317AB6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6" r:id="rId1"/>
    <sheet name="Data" sheetId="2" r:id="rId2"/>
    <sheet name="Sheet4" sheetId="4" r:id="rId3"/>
    <sheet name="Formula_Unique_Values" sheetId="3" r:id="rId4"/>
  </sheets>
  <definedNames>
    <definedName name="_xlnm._FilterDatabase" localSheetId="1" hidden="1">Data!$A$2:$E$571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6" l="1"/>
  <c r="F82" i="3"/>
  <c r="B8" i="6"/>
  <c r="B7" i="6"/>
  <c r="B9" i="6"/>
  <c r="B10" i="6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3" i="2"/>
  <c r="H21" i="2"/>
  <c r="H78" i="2"/>
  <c r="H9" i="2"/>
  <c r="H31" i="2"/>
  <c r="H4" i="2"/>
  <c r="H8" i="2"/>
  <c r="H37" i="2"/>
  <c r="H57" i="2"/>
  <c r="H111" i="2"/>
  <c r="H56" i="2"/>
  <c r="H10" i="2"/>
  <c r="H35" i="2"/>
  <c r="H29" i="2"/>
  <c r="H5" i="2"/>
  <c r="H65" i="2"/>
  <c r="H13" i="2"/>
  <c r="H7" i="2"/>
  <c r="H11" i="2"/>
  <c r="H14" i="2"/>
  <c r="H32" i="2"/>
  <c r="H19" i="2"/>
  <c r="H88" i="2"/>
  <c r="H132" i="2"/>
  <c r="H114" i="2"/>
  <c r="H17" i="2"/>
  <c r="H171" i="2"/>
  <c r="H33" i="2"/>
  <c r="H100" i="2"/>
  <c r="H95" i="2"/>
  <c r="H215" i="2"/>
  <c r="H15" i="2"/>
  <c r="H38" i="2"/>
  <c r="H89" i="2"/>
  <c r="H145" i="2"/>
  <c r="H26" i="2"/>
  <c r="H61" i="2"/>
  <c r="H44" i="2"/>
  <c r="H23" i="2"/>
  <c r="H30" i="2"/>
  <c r="H27" i="2"/>
  <c r="H58" i="2"/>
  <c r="H53" i="2"/>
  <c r="H41" i="2"/>
  <c r="H85" i="2"/>
  <c r="H50" i="2"/>
  <c r="H12" i="2"/>
  <c r="H219" i="2"/>
  <c r="H22" i="2"/>
  <c r="H212" i="2"/>
  <c r="H222" i="2"/>
  <c r="H202" i="2"/>
  <c r="H189" i="2"/>
  <c r="H204" i="2"/>
  <c r="H220" i="2"/>
  <c r="H187" i="2"/>
  <c r="H221" i="2"/>
  <c r="H197" i="2"/>
  <c r="H210" i="2"/>
  <c r="H196" i="2"/>
  <c r="H153" i="2"/>
  <c r="H167" i="2"/>
  <c r="H157" i="2"/>
  <c r="H137" i="2"/>
  <c r="H152" i="2"/>
  <c r="H182" i="2"/>
  <c r="H201" i="2"/>
  <c r="H92" i="2"/>
  <c r="H18" i="2"/>
  <c r="H228" i="2"/>
  <c r="H178" i="2"/>
  <c r="H163" i="2"/>
  <c r="H193" i="2"/>
  <c r="H169" i="2"/>
  <c r="H207" i="2"/>
  <c r="H162" i="2"/>
  <c r="H149" i="2"/>
  <c r="H16" i="2"/>
  <c r="H113" i="2"/>
  <c r="H164" i="2"/>
  <c r="H67" i="2"/>
  <c r="H120" i="2"/>
  <c r="H118" i="2"/>
  <c r="H54" i="2"/>
  <c r="H105" i="2"/>
  <c r="H131" i="2"/>
  <c r="H126" i="2"/>
  <c r="H227" i="2"/>
  <c r="H188" i="2"/>
  <c r="H64" i="2"/>
  <c r="H216" i="2"/>
  <c r="H140" i="2"/>
  <c r="H154" i="2"/>
  <c r="H180" i="2"/>
  <c r="H94" i="2"/>
  <c r="H214" i="2"/>
  <c r="H191" i="2"/>
  <c r="H129" i="2"/>
  <c r="H130" i="2"/>
  <c r="H213" i="2"/>
  <c r="H69" i="2"/>
  <c r="H3" i="2"/>
  <c r="H124" i="2"/>
  <c r="H184" i="2"/>
  <c r="H226" i="2"/>
  <c r="H91" i="2"/>
  <c r="H209" i="2"/>
  <c r="H174" i="2"/>
  <c r="H208" i="2"/>
  <c r="H135" i="2"/>
  <c r="H51" i="2"/>
  <c r="H96" i="2"/>
  <c r="H190" i="2"/>
  <c r="H101" i="2"/>
  <c r="H159" i="2"/>
  <c r="H116" i="2"/>
  <c r="H82" i="2"/>
  <c r="H200" i="2"/>
  <c r="H74" i="2"/>
  <c r="H179" i="2"/>
  <c r="H199" i="2"/>
  <c r="H122" i="2"/>
  <c r="H25" i="2"/>
  <c r="H168" i="2"/>
  <c r="H170" i="2"/>
  <c r="H110" i="2"/>
  <c r="H93" i="2"/>
  <c r="H75" i="2"/>
  <c r="H138" i="2"/>
  <c r="H60" i="2"/>
  <c r="H6" i="2"/>
  <c r="H112" i="2"/>
  <c r="H117" i="2"/>
  <c r="H186" i="2"/>
  <c r="H24" i="2"/>
  <c r="H181" i="2"/>
  <c r="H62" i="2"/>
  <c r="H194" i="2"/>
  <c r="H203" i="2"/>
  <c r="H20" i="2"/>
  <c r="H125" i="2"/>
  <c r="H86" i="2"/>
  <c r="H121" i="2"/>
  <c r="H198" i="2"/>
  <c r="H211" i="2"/>
  <c r="H134" i="2"/>
  <c r="H139" i="2"/>
  <c r="H127" i="2"/>
  <c r="H225" i="2"/>
  <c r="H175" i="2"/>
  <c r="H176" i="2"/>
  <c r="H42" i="2"/>
  <c r="H195" i="2"/>
  <c r="H166" i="2"/>
  <c r="H72" i="2"/>
  <c r="H52" i="2"/>
  <c r="H68" i="2"/>
  <c r="H66" i="2"/>
  <c r="H217" i="2"/>
  <c r="H90" i="2"/>
  <c r="H36" i="2"/>
  <c r="H155" i="2"/>
  <c r="H146" i="2"/>
  <c r="H136" i="2"/>
  <c r="H107" i="2"/>
  <c r="H218" i="2"/>
  <c r="H147" i="2"/>
  <c r="H109" i="2"/>
  <c r="H71" i="2"/>
  <c r="H45" i="2"/>
  <c r="H49" i="2"/>
  <c r="H84" i="2"/>
  <c r="H108" i="2"/>
  <c r="H123" i="2"/>
  <c r="H128" i="2"/>
  <c r="H142" i="2"/>
  <c r="H43" i="2"/>
  <c r="H34" i="2"/>
  <c r="H77" i="2"/>
  <c r="H87" i="2"/>
  <c r="H39" i="2"/>
  <c r="H98" i="2"/>
  <c r="H104" i="2"/>
  <c r="H156" i="2"/>
  <c r="H185" i="2"/>
  <c r="H63" i="2"/>
  <c r="H223" i="2"/>
  <c r="H144" i="2"/>
  <c r="H59" i="2"/>
  <c r="H97" i="2"/>
  <c r="H106" i="2"/>
  <c r="H205" i="2"/>
  <c r="H80" i="2"/>
  <c r="H192" i="2"/>
  <c r="H148" i="2"/>
  <c r="H28" i="2"/>
  <c r="H141" i="2"/>
  <c r="H160" i="2"/>
  <c r="H158" i="2"/>
  <c r="H83" i="2"/>
  <c r="H119" i="2"/>
  <c r="H115" i="2"/>
  <c r="H161" i="2"/>
  <c r="H81" i="2"/>
  <c r="H173" i="2"/>
  <c r="H99" i="2"/>
  <c r="H150" i="2"/>
  <c r="H151" i="2"/>
  <c r="H55" i="2"/>
  <c r="H165" i="2"/>
  <c r="H73" i="2"/>
  <c r="H206" i="2"/>
  <c r="H183" i="2"/>
  <c r="H224" i="2"/>
  <c r="H133" i="2"/>
  <c r="H103" i="2"/>
  <c r="H143" i="2"/>
  <c r="H79" i="2"/>
  <c r="H46" i="2"/>
  <c r="H70" i="2"/>
  <c r="H48" i="2"/>
  <c r="H47" i="2"/>
  <c r="H172" i="2"/>
  <c r="H102" i="2"/>
  <c r="H177" i="2"/>
  <c r="H76" i="2"/>
  <c r="H40" i="2"/>
  <c r="K2" i="2"/>
  <c r="B21" i="6"/>
  <c r="B13" i="6"/>
  <c r="C13" i="6" s="1"/>
  <c r="C7" i="6"/>
  <c r="C8" i="6"/>
  <c r="B12" i="6"/>
  <c r="C12" i="6" s="1"/>
  <c r="C10" i="6"/>
  <c r="B14" i="6"/>
  <c r="C14" i="6" s="1"/>
  <c r="B17" i="6"/>
  <c r="C17" i="6" s="1"/>
  <c r="B15" i="6"/>
  <c r="C15" i="6" s="1"/>
  <c r="B19" i="6"/>
  <c r="C19" i="6" s="1"/>
  <c r="B16" i="6"/>
  <c r="C16" i="6" s="1"/>
  <c r="B18" i="6"/>
  <c r="C18" i="6" s="1"/>
  <c r="B11" i="6"/>
  <c r="C11" i="6" s="1"/>
  <c r="B20" i="6"/>
  <c r="C20" i="6" s="1"/>
  <c r="C9" i="6"/>
  <c r="I78" i="2"/>
  <c r="I9" i="2"/>
  <c r="I31" i="2"/>
  <c r="I4" i="2"/>
  <c r="I8" i="2"/>
  <c r="S8" i="2" s="1"/>
  <c r="I37" i="2"/>
  <c r="S9" i="2" s="1"/>
  <c r="I57" i="2"/>
  <c r="S10" i="2" s="1"/>
  <c r="I111" i="2"/>
  <c r="S11" i="2" s="1"/>
  <c r="I56" i="2"/>
  <c r="I10" i="2"/>
  <c r="I35" i="2"/>
  <c r="S14" i="2" s="1"/>
  <c r="I29" i="2"/>
  <c r="S15" i="2" s="1"/>
  <c r="I5" i="2"/>
  <c r="I65" i="2"/>
  <c r="I13" i="2"/>
  <c r="I7" i="2"/>
  <c r="I11" i="2"/>
  <c r="I14" i="2"/>
  <c r="I32" i="2"/>
  <c r="I19" i="2"/>
  <c r="S23" i="2" s="1"/>
  <c r="I88" i="2"/>
  <c r="I132" i="2"/>
  <c r="I114" i="2"/>
  <c r="S26" i="2" s="1"/>
  <c r="I17" i="2"/>
  <c r="S27" i="2" s="1"/>
  <c r="I171" i="2"/>
  <c r="I33" i="2"/>
  <c r="I100" i="2"/>
  <c r="S30" i="2" s="1"/>
  <c r="I95" i="2"/>
  <c r="S31" i="2" s="1"/>
  <c r="I215" i="2"/>
  <c r="I15" i="2"/>
  <c r="S33" i="2" s="1"/>
  <c r="I38" i="2"/>
  <c r="I89" i="2"/>
  <c r="S35" i="2" s="1"/>
  <c r="I145" i="2"/>
  <c r="I26" i="2"/>
  <c r="S37" i="2" s="1"/>
  <c r="I61" i="2"/>
  <c r="S38" i="2" s="1"/>
  <c r="I44" i="2"/>
  <c r="S39" i="2" s="1"/>
  <c r="I23" i="2"/>
  <c r="I30" i="2"/>
  <c r="I27" i="2"/>
  <c r="I58" i="2"/>
  <c r="S43" i="2" s="1"/>
  <c r="I53" i="2"/>
  <c r="I41" i="2"/>
  <c r="I85" i="2"/>
  <c r="I50" i="2"/>
  <c r="I12" i="2"/>
  <c r="I219" i="2"/>
  <c r="I22" i="2"/>
  <c r="I212" i="2"/>
  <c r="S51" i="2" s="1"/>
  <c r="I222" i="2"/>
  <c r="I202" i="2"/>
  <c r="S53" i="2" s="1"/>
  <c r="I189" i="2"/>
  <c r="I204" i="2"/>
  <c r="S55" i="2" s="1"/>
  <c r="I220" i="2"/>
  <c r="S56" i="2" s="1"/>
  <c r="I187" i="2"/>
  <c r="S57" i="2" s="1"/>
  <c r="I221" i="2"/>
  <c r="I197" i="2"/>
  <c r="S59" i="2" s="1"/>
  <c r="I210" i="2"/>
  <c r="I196" i="2"/>
  <c r="S61" i="2" s="1"/>
  <c r="I153" i="2"/>
  <c r="I167" i="2"/>
  <c r="I157" i="2"/>
  <c r="I137" i="2"/>
  <c r="S65" i="2" s="1"/>
  <c r="I152" i="2"/>
  <c r="I182" i="2"/>
  <c r="S67" i="2" s="1"/>
  <c r="I201" i="2"/>
  <c r="I92" i="2"/>
  <c r="I18" i="2"/>
  <c r="I228" i="2"/>
  <c r="S71" i="2" s="1"/>
  <c r="I178" i="2"/>
  <c r="I163" i="2"/>
  <c r="I193" i="2"/>
  <c r="S74" i="2" s="1"/>
  <c r="I169" i="2"/>
  <c r="S75" i="2" s="1"/>
  <c r="I207" i="2"/>
  <c r="I162" i="2"/>
  <c r="I149" i="2"/>
  <c r="S78" i="2" s="1"/>
  <c r="I16" i="2"/>
  <c r="I113" i="2"/>
  <c r="I164" i="2"/>
  <c r="I67" i="2"/>
  <c r="I120" i="2"/>
  <c r="S83" i="2" s="1"/>
  <c r="I118" i="2"/>
  <c r="I54" i="2"/>
  <c r="S85" i="2" s="1"/>
  <c r="I105" i="2"/>
  <c r="I131" i="2"/>
  <c r="S87" i="2" s="1"/>
  <c r="I126" i="2"/>
  <c r="S88" i="2" s="1"/>
  <c r="I227" i="2"/>
  <c r="I188" i="2"/>
  <c r="S90" i="2" s="1"/>
  <c r="I64" i="2"/>
  <c r="I216" i="2"/>
  <c r="S92" i="2" s="1"/>
  <c r="I140" i="2"/>
  <c r="I154" i="2"/>
  <c r="S94" i="2" s="1"/>
  <c r="I180" i="2"/>
  <c r="S95" i="2" s="1"/>
  <c r="I94" i="2"/>
  <c r="I214" i="2"/>
  <c r="I191" i="2"/>
  <c r="I129" i="2"/>
  <c r="I130" i="2"/>
  <c r="S100" i="2" s="1"/>
  <c r="I213" i="2"/>
  <c r="I69" i="2"/>
  <c r="S102" i="2" s="1"/>
  <c r="I3" i="2"/>
  <c r="S103" i="2" s="1"/>
  <c r="I124" i="2"/>
  <c r="I184" i="2"/>
  <c r="I226" i="2"/>
  <c r="S106" i="2" s="1"/>
  <c r="I91" i="2"/>
  <c r="S107" i="2" s="1"/>
  <c r="I209" i="2"/>
  <c r="I174" i="2"/>
  <c r="I208" i="2"/>
  <c r="I135" i="2"/>
  <c r="S111" i="2" s="1"/>
  <c r="I51" i="2"/>
  <c r="I96" i="2"/>
  <c r="S113" i="2" s="1"/>
  <c r="I190" i="2"/>
  <c r="S114" i="2" s="1"/>
  <c r="I101" i="2"/>
  <c r="I159" i="2"/>
  <c r="I116" i="2"/>
  <c r="I82" i="2"/>
  <c r="S118" i="2" s="1"/>
  <c r="I200" i="2"/>
  <c r="S119" i="2" s="1"/>
  <c r="I74" i="2"/>
  <c r="I179" i="2"/>
  <c r="I199" i="2"/>
  <c r="I122" i="2"/>
  <c r="I25" i="2"/>
  <c r="S124" i="2" s="1"/>
  <c r="I168" i="2"/>
  <c r="I170" i="2"/>
  <c r="S126" i="2" s="1"/>
  <c r="I110" i="2"/>
  <c r="S127" i="2" s="1"/>
  <c r="I93" i="2"/>
  <c r="I75" i="2"/>
  <c r="I138" i="2"/>
  <c r="S130" i="2" s="1"/>
  <c r="I60" i="2"/>
  <c r="S131" i="2" s="1"/>
  <c r="I6" i="2"/>
  <c r="S132" i="2" s="1"/>
  <c r="I112" i="2"/>
  <c r="I117" i="2"/>
  <c r="I186" i="2"/>
  <c r="S135" i="2" s="1"/>
  <c r="I24" i="2"/>
  <c r="I181" i="2"/>
  <c r="S137" i="2" s="1"/>
  <c r="I62" i="2"/>
  <c r="S138" i="2" s="1"/>
  <c r="I194" i="2"/>
  <c r="S139" i="2" s="1"/>
  <c r="I203" i="2"/>
  <c r="S140" i="2" s="1"/>
  <c r="I20" i="2"/>
  <c r="I125" i="2"/>
  <c r="S142" i="2" s="1"/>
  <c r="I86" i="2"/>
  <c r="S143" i="2" s="1"/>
  <c r="I121" i="2"/>
  <c r="I198" i="2"/>
  <c r="S145" i="2" s="1"/>
  <c r="I211" i="2"/>
  <c r="S146" i="2" s="1"/>
  <c r="I134" i="2"/>
  <c r="S147" i="2" s="1"/>
  <c r="I139" i="2"/>
  <c r="I127" i="2"/>
  <c r="I225" i="2"/>
  <c r="S150" i="2" s="1"/>
  <c r="I175" i="2"/>
  <c r="S151" i="2" s="1"/>
  <c r="I176" i="2"/>
  <c r="S152" i="2" s="1"/>
  <c r="I42" i="2"/>
  <c r="S153" i="2" s="1"/>
  <c r="I195" i="2"/>
  <c r="S154" i="2" s="1"/>
  <c r="I166" i="2"/>
  <c r="I72" i="2"/>
  <c r="I52" i="2"/>
  <c r="S157" i="2" s="1"/>
  <c r="I68" i="2"/>
  <c r="S158" i="2" s="1"/>
  <c r="I66" i="2"/>
  <c r="S159" i="2" s="1"/>
  <c r="I217" i="2"/>
  <c r="I90" i="2"/>
  <c r="I36" i="2"/>
  <c r="S162" i="2" s="1"/>
  <c r="I155" i="2"/>
  <c r="S163" i="2" s="1"/>
  <c r="I146" i="2"/>
  <c r="S164" i="2" s="1"/>
  <c r="I136" i="2"/>
  <c r="I107" i="2"/>
  <c r="I218" i="2"/>
  <c r="S167" i="2" s="1"/>
  <c r="I147" i="2"/>
  <c r="S168" i="2" s="1"/>
  <c r="I109" i="2"/>
  <c r="I71" i="2"/>
  <c r="S170" i="2" s="1"/>
  <c r="I45" i="2"/>
  <c r="S171" i="2" s="1"/>
  <c r="I49" i="2"/>
  <c r="I84" i="2"/>
  <c r="I108" i="2"/>
  <c r="S174" i="2" s="1"/>
  <c r="I123" i="2"/>
  <c r="S175" i="2" s="1"/>
  <c r="I128" i="2"/>
  <c r="S176" i="2" s="1"/>
  <c r="I142" i="2"/>
  <c r="I43" i="2"/>
  <c r="S178" i="2" s="1"/>
  <c r="I34" i="2"/>
  <c r="S179" i="2" s="1"/>
  <c r="I77" i="2"/>
  <c r="I87" i="2"/>
  <c r="S181" i="2" s="1"/>
  <c r="I39" i="2"/>
  <c r="I98" i="2"/>
  <c r="S183" i="2" s="1"/>
  <c r="I104" i="2"/>
  <c r="S184" i="2" s="1"/>
  <c r="I156" i="2"/>
  <c r="I185" i="2"/>
  <c r="I63" i="2"/>
  <c r="S187" i="2" s="1"/>
  <c r="I223" i="2"/>
  <c r="I144" i="2"/>
  <c r="S189" i="2" s="1"/>
  <c r="I59" i="2"/>
  <c r="S190" i="2" s="1"/>
  <c r="I97" i="2"/>
  <c r="S191" i="2" s="1"/>
  <c r="I106" i="2"/>
  <c r="I205" i="2"/>
  <c r="I80" i="2"/>
  <c r="I192" i="2"/>
  <c r="S195" i="2" s="1"/>
  <c r="I148" i="2"/>
  <c r="S196" i="2" s="1"/>
  <c r="I28" i="2"/>
  <c r="I141" i="2"/>
  <c r="S198" i="2" s="1"/>
  <c r="I160" i="2"/>
  <c r="S199" i="2" s="1"/>
  <c r="I158" i="2"/>
  <c r="I83" i="2"/>
  <c r="S201" i="2" s="1"/>
  <c r="I119" i="2"/>
  <c r="S202" i="2" s="1"/>
  <c r="I115" i="2"/>
  <c r="S203" i="2" s="1"/>
  <c r="I161" i="2"/>
  <c r="I81" i="2"/>
  <c r="S205" i="2" s="1"/>
  <c r="I173" i="2"/>
  <c r="S206" i="2" s="1"/>
  <c r="I99" i="2"/>
  <c r="S207" i="2" s="1"/>
  <c r="I150" i="2"/>
  <c r="I151" i="2"/>
  <c r="S209" i="2" s="1"/>
  <c r="I55" i="2"/>
  <c r="S210" i="2" s="1"/>
  <c r="I165" i="2"/>
  <c r="S211" i="2" s="1"/>
  <c r="I73" i="2"/>
  <c r="I206" i="2"/>
  <c r="S213" i="2" s="1"/>
  <c r="I183" i="2"/>
  <c r="S214" i="2" s="1"/>
  <c r="I224" i="2"/>
  <c r="S215" i="2" s="1"/>
  <c r="I133" i="2"/>
  <c r="S216" i="2" s="1"/>
  <c r="I103" i="2"/>
  <c r="S217" i="2" s="1"/>
  <c r="I143" i="2"/>
  <c r="I79" i="2"/>
  <c r="S219" i="2" s="1"/>
  <c r="I46" i="2"/>
  <c r="S220" i="2" s="1"/>
  <c r="I70" i="2"/>
  <c r="S221" i="2" s="1"/>
  <c r="I48" i="2"/>
  <c r="S222" i="2" s="1"/>
  <c r="I47" i="2"/>
  <c r="S223" i="2" s="1"/>
  <c r="I172" i="2"/>
  <c r="I102" i="2"/>
  <c r="I177" i="2"/>
  <c r="S226" i="2" s="1"/>
  <c r="I76" i="2"/>
  <c r="S227" i="2" s="1"/>
  <c r="I40" i="2"/>
  <c r="I239" i="2"/>
  <c r="I255" i="2"/>
  <c r="I21" i="2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G324" i="2"/>
  <c r="H324" i="2" s="1"/>
  <c r="G325" i="2"/>
  <c r="H325" i="2" s="1"/>
  <c r="G326" i="2"/>
  <c r="H326" i="2" s="1"/>
  <c r="G327" i="2"/>
  <c r="H327" i="2" s="1"/>
  <c r="G328" i="2"/>
  <c r="H328" i="2" s="1"/>
  <c r="G329" i="2"/>
  <c r="H329" i="2" s="1"/>
  <c r="G330" i="2"/>
  <c r="H330" i="2" s="1"/>
  <c r="G331" i="2"/>
  <c r="H331" i="2" s="1"/>
  <c r="G332" i="2"/>
  <c r="H332" i="2" s="1"/>
  <c r="G333" i="2"/>
  <c r="H333" i="2" s="1"/>
  <c r="G334" i="2"/>
  <c r="H334" i="2" s="1"/>
  <c r="G335" i="2"/>
  <c r="H335" i="2" s="1"/>
  <c r="G336" i="2"/>
  <c r="H336" i="2" s="1"/>
  <c r="G337" i="2"/>
  <c r="H337" i="2" s="1"/>
  <c r="G338" i="2"/>
  <c r="H338" i="2" s="1"/>
  <c r="G339" i="2"/>
  <c r="H339" i="2" s="1"/>
  <c r="G340" i="2"/>
  <c r="H340" i="2" s="1"/>
  <c r="G341" i="2"/>
  <c r="H341" i="2" s="1"/>
  <c r="G342" i="2"/>
  <c r="H342" i="2" s="1"/>
  <c r="G343" i="2"/>
  <c r="H343" i="2" s="1"/>
  <c r="G344" i="2"/>
  <c r="H344" i="2" s="1"/>
  <c r="G345" i="2"/>
  <c r="H345" i="2" s="1"/>
  <c r="G346" i="2"/>
  <c r="H346" i="2" s="1"/>
  <c r="G347" i="2"/>
  <c r="H347" i="2" s="1"/>
  <c r="G348" i="2"/>
  <c r="H348" i="2" s="1"/>
  <c r="G349" i="2"/>
  <c r="H349" i="2" s="1"/>
  <c r="G350" i="2"/>
  <c r="H350" i="2" s="1"/>
  <c r="G351" i="2"/>
  <c r="H351" i="2" s="1"/>
  <c r="G352" i="2"/>
  <c r="H352" i="2" s="1"/>
  <c r="G353" i="2"/>
  <c r="H353" i="2" s="1"/>
  <c r="G354" i="2"/>
  <c r="H354" i="2" s="1"/>
  <c r="G355" i="2"/>
  <c r="H355" i="2" s="1"/>
  <c r="G356" i="2"/>
  <c r="H356" i="2" s="1"/>
  <c r="G357" i="2"/>
  <c r="H357" i="2" s="1"/>
  <c r="G358" i="2"/>
  <c r="H358" i="2" s="1"/>
  <c r="G359" i="2"/>
  <c r="H359" i="2" s="1"/>
  <c r="G360" i="2"/>
  <c r="H360" i="2" s="1"/>
  <c r="G361" i="2"/>
  <c r="H361" i="2" s="1"/>
  <c r="G362" i="2"/>
  <c r="H362" i="2" s="1"/>
  <c r="G363" i="2"/>
  <c r="H363" i="2" s="1"/>
  <c r="G364" i="2"/>
  <c r="H364" i="2" s="1"/>
  <c r="G365" i="2"/>
  <c r="H365" i="2" s="1"/>
  <c r="G366" i="2"/>
  <c r="H366" i="2" s="1"/>
  <c r="G367" i="2"/>
  <c r="H367" i="2" s="1"/>
  <c r="G368" i="2"/>
  <c r="H368" i="2" s="1"/>
  <c r="G369" i="2"/>
  <c r="H369" i="2" s="1"/>
  <c r="G370" i="2"/>
  <c r="H370" i="2" s="1"/>
  <c r="G371" i="2"/>
  <c r="H371" i="2" s="1"/>
  <c r="G372" i="2"/>
  <c r="H372" i="2" s="1"/>
  <c r="G373" i="2"/>
  <c r="H373" i="2" s="1"/>
  <c r="G374" i="2"/>
  <c r="H374" i="2" s="1"/>
  <c r="G375" i="2"/>
  <c r="H375" i="2" s="1"/>
  <c r="G376" i="2"/>
  <c r="H376" i="2" s="1"/>
  <c r="G377" i="2"/>
  <c r="H377" i="2" s="1"/>
  <c r="G378" i="2"/>
  <c r="H378" i="2" s="1"/>
  <c r="G379" i="2"/>
  <c r="H379" i="2" s="1"/>
  <c r="G380" i="2"/>
  <c r="H380" i="2" s="1"/>
  <c r="G381" i="2"/>
  <c r="H381" i="2" s="1"/>
  <c r="G382" i="2"/>
  <c r="H382" i="2" s="1"/>
  <c r="G383" i="2"/>
  <c r="H383" i="2" s="1"/>
  <c r="G384" i="2"/>
  <c r="H384" i="2" s="1"/>
  <c r="G385" i="2"/>
  <c r="H385" i="2" s="1"/>
  <c r="G386" i="2"/>
  <c r="H386" i="2" s="1"/>
  <c r="G387" i="2"/>
  <c r="H387" i="2" s="1"/>
  <c r="G388" i="2"/>
  <c r="H388" i="2" s="1"/>
  <c r="G389" i="2"/>
  <c r="H389" i="2" s="1"/>
  <c r="G390" i="2"/>
  <c r="H390" i="2" s="1"/>
  <c r="G391" i="2"/>
  <c r="H391" i="2" s="1"/>
  <c r="G392" i="2"/>
  <c r="H392" i="2" s="1"/>
  <c r="G393" i="2"/>
  <c r="H393" i="2" s="1"/>
  <c r="G394" i="2"/>
  <c r="H394" i="2" s="1"/>
  <c r="G395" i="2"/>
  <c r="H395" i="2" s="1"/>
  <c r="B7" i="4"/>
  <c r="B6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2" i="3"/>
  <c r="A3" i="3"/>
  <c r="A4" i="3"/>
  <c r="A5" i="3"/>
  <c r="A6" i="3"/>
  <c r="A7" i="3" s="1"/>
  <c r="A8" i="3" s="1"/>
  <c r="A9" i="3" s="1"/>
  <c r="A10" i="3" s="1"/>
  <c r="A11" i="3" s="1"/>
  <c r="A12" i="3" s="1"/>
  <c r="A13" i="3" s="1"/>
  <c r="A14" i="3" s="1"/>
  <c r="A2" i="3"/>
  <c r="D9" i="6" l="1"/>
  <c r="D8" i="6"/>
  <c r="D16" i="6"/>
  <c r="D14" i="6"/>
  <c r="D7" i="6"/>
  <c r="D20" i="6"/>
  <c r="D19" i="6"/>
  <c r="D10" i="6"/>
  <c r="D13" i="6"/>
  <c r="D18" i="6"/>
  <c r="D17" i="6"/>
  <c r="D11" i="6"/>
  <c r="D15" i="6"/>
  <c r="D12" i="6"/>
  <c r="AA3" i="2"/>
  <c r="AA5" i="2"/>
  <c r="AA4" i="2"/>
  <c r="I395" i="2"/>
  <c r="I379" i="2"/>
  <c r="I363" i="2"/>
  <c r="I347" i="2"/>
  <c r="I331" i="2"/>
  <c r="I315" i="2"/>
  <c r="I299" i="2"/>
  <c r="I283" i="2"/>
  <c r="I267" i="2"/>
  <c r="I251" i="2"/>
  <c r="I235" i="2"/>
  <c r="I391" i="2"/>
  <c r="I375" i="2"/>
  <c r="I359" i="2"/>
  <c r="I343" i="2"/>
  <c r="I327" i="2"/>
  <c r="I311" i="2"/>
  <c r="I295" i="2"/>
  <c r="I279" i="2"/>
  <c r="I263" i="2"/>
  <c r="I247" i="2"/>
  <c r="I231" i="2"/>
  <c r="I387" i="2"/>
  <c r="I371" i="2"/>
  <c r="I355" i="2"/>
  <c r="I339" i="2"/>
  <c r="I323" i="2"/>
  <c r="I307" i="2"/>
  <c r="I291" i="2"/>
  <c r="I275" i="2"/>
  <c r="I259" i="2"/>
  <c r="I243" i="2"/>
  <c r="I383" i="2"/>
  <c r="I367" i="2"/>
  <c r="I351" i="2"/>
  <c r="I335" i="2"/>
  <c r="I319" i="2"/>
  <c r="I303" i="2"/>
  <c r="I287" i="2"/>
  <c r="I271" i="2"/>
  <c r="S155" i="2"/>
  <c r="S123" i="2"/>
  <c r="S115" i="2"/>
  <c r="S99" i="2"/>
  <c r="S91" i="2"/>
  <c r="S79" i="2"/>
  <c r="S63" i="2"/>
  <c r="S47" i="2"/>
  <c r="I394" i="2"/>
  <c r="I390" i="2"/>
  <c r="I386" i="2"/>
  <c r="I382" i="2"/>
  <c r="I378" i="2"/>
  <c r="I374" i="2"/>
  <c r="I370" i="2"/>
  <c r="I366" i="2"/>
  <c r="I362" i="2"/>
  <c r="I358" i="2"/>
  <c r="I354" i="2"/>
  <c r="I350" i="2"/>
  <c r="I346" i="2"/>
  <c r="I342" i="2"/>
  <c r="I338" i="2"/>
  <c r="I334" i="2"/>
  <c r="I330" i="2"/>
  <c r="I326" i="2"/>
  <c r="I322" i="2"/>
  <c r="I318" i="2"/>
  <c r="I314" i="2"/>
  <c r="I310" i="2"/>
  <c r="I306" i="2"/>
  <c r="I302" i="2"/>
  <c r="I298" i="2"/>
  <c r="I294" i="2"/>
  <c r="I290" i="2"/>
  <c r="I286" i="2"/>
  <c r="I282" i="2"/>
  <c r="I278" i="2"/>
  <c r="I274" i="2"/>
  <c r="I270" i="2"/>
  <c r="I266" i="2"/>
  <c r="I262" i="2"/>
  <c r="I258" i="2"/>
  <c r="I254" i="2"/>
  <c r="I250" i="2"/>
  <c r="I246" i="2"/>
  <c r="I242" i="2"/>
  <c r="I238" i="2"/>
  <c r="I234" i="2"/>
  <c r="I230" i="2"/>
  <c r="S218" i="2"/>
  <c r="S194" i="2"/>
  <c r="S186" i="2"/>
  <c r="S182" i="2"/>
  <c r="S166" i="2"/>
  <c r="S134" i="2"/>
  <c r="S122" i="2"/>
  <c r="S110" i="2"/>
  <c r="S98" i="2"/>
  <c r="S86" i="2"/>
  <c r="S82" i="2"/>
  <c r="S70" i="2"/>
  <c r="S66" i="2"/>
  <c r="S62" i="2"/>
  <c r="S58" i="2"/>
  <c r="S54" i="2"/>
  <c r="S50" i="2"/>
  <c r="S46" i="2"/>
  <c r="S42" i="2"/>
  <c r="S34" i="2"/>
  <c r="S22" i="2"/>
  <c r="S18" i="2"/>
  <c r="S6" i="2"/>
  <c r="I393" i="2"/>
  <c r="I389" i="2"/>
  <c r="I385" i="2"/>
  <c r="I381" i="2"/>
  <c r="I377" i="2"/>
  <c r="I373" i="2"/>
  <c r="I369" i="2"/>
  <c r="I365" i="2"/>
  <c r="I361" i="2"/>
  <c r="I357" i="2"/>
  <c r="I353" i="2"/>
  <c r="I349" i="2"/>
  <c r="I345" i="2"/>
  <c r="I341" i="2"/>
  <c r="I337" i="2"/>
  <c r="I333" i="2"/>
  <c r="I329" i="2"/>
  <c r="I325" i="2"/>
  <c r="I321" i="2"/>
  <c r="I317" i="2"/>
  <c r="I313" i="2"/>
  <c r="I309" i="2"/>
  <c r="I305" i="2"/>
  <c r="I301" i="2"/>
  <c r="I297" i="2"/>
  <c r="I293" i="2"/>
  <c r="I289" i="2"/>
  <c r="I285" i="2"/>
  <c r="I281" i="2"/>
  <c r="I277" i="2"/>
  <c r="I273" i="2"/>
  <c r="I269" i="2"/>
  <c r="I265" i="2"/>
  <c r="I261" i="2"/>
  <c r="I257" i="2"/>
  <c r="I253" i="2"/>
  <c r="I249" i="2"/>
  <c r="I245" i="2"/>
  <c r="I241" i="2"/>
  <c r="I237" i="2"/>
  <c r="I233" i="2"/>
  <c r="I229" i="2"/>
  <c r="S225" i="2"/>
  <c r="S197" i="2"/>
  <c r="S193" i="2"/>
  <c r="S185" i="2"/>
  <c r="S177" i="2"/>
  <c r="S173" i="2"/>
  <c r="S169" i="2"/>
  <c r="S165" i="2"/>
  <c r="S161" i="2"/>
  <c r="S149" i="2"/>
  <c r="S141" i="2"/>
  <c r="S133" i="2"/>
  <c r="S129" i="2"/>
  <c r="S125" i="2"/>
  <c r="S121" i="2"/>
  <c r="S117" i="2"/>
  <c r="S109" i="2"/>
  <c r="S105" i="2"/>
  <c r="S101" i="2"/>
  <c r="S97" i="2"/>
  <c r="S93" i="2"/>
  <c r="S89" i="2"/>
  <c r="S81" i="2"/>
  <c r="S77" i="2"/>
  <c r="S73" i="2"/>
  <c r="S69" i="2"/>
  <c r="S49" i="2"/>
  <c r="S45" i="2"/>
  <c r="S41" i="2"/>
  <c r="S29" i="2"/>
  <c r="S25" i="2"/>
  <c r="S21" i="2"/>
  <c r="S17" i="2"/>
  <c r="S13" i="2"/>
  <c r="S5" i="2"/>
  <c r="S19" i="2"/>
  <c r="S7" i="2"/>
  <c r="S3" i="2"/>
  <c r="T3" i="2" s="1"/>
  <c r="I392" i="2"/>
  <c r="I388" i="2"/>
  <c r="I384" i="2"/>
  <c r="I380" i="2"/>
  <c r="I376" i="2"/>
  <c r="I372" i="2"/>
  <c r="I368" i="2"/>
  <c r="I364" i="2"/>
  <c r="I360" i="2"/>
  <c r="I356" i="2"/>
  <c r="I352" i="2"/>
  <c r="I348" i="2"/>
  <c r="I344" i="2"/>
  <c r="I340" i="2"/>
  <c r="I336" i="2"/>
  <c r="I332" i="2"/>
  <c r="I328" i="2"/>
  <c r="I324" i="2"/>
  <c r="I320" i="2"/>
  <c r="I316" i="2"/>
  <c r="I312" i="2"/>
  <c r="I308" i="2"/>
  <c r="I304" i="2"/>
  <c r="I300" i="2"/>
  <c r="I296" i="2"/>
  <c r="I292" i="2"/>
  <c r="I288" i="2"/>
  <c r="I284" i="2"/>
  <c r="I280" i="2"/>
  <c r="I276" i="2"/>
  <c r="I272" i="2"/>
  <c r="I268" i="2"/>
  <c r="I264" i="2"/>
  <c r="I260" i="2"/>
  <c r="I256" i="2"/>
  <c r="I252" i="2"/>
  <c r="I248" i="2"/>
  <c r="I244" i="2"/>
  <c r="I240" i="2"/>
  <c r="I236" i="2"/>
  <c r="I232" i="2"/>
  <c r="S228" i="2"/>
  <c r="S224" i="2"/>
  <c r="S212" i="2"/>
  <c r="S208" i="2"/>
  <c r="S204" i="2"/>
  <c r="S200" i="2"/>
  <c r="S192" i="2"/>
  <c r="S188" i="2"/>
  <c r="S180" i="2"/>
  <c r="S172" i="2"/>
  <c r="S160" i="2"/>
  <c r="S156" i="2"/>
  <c r="S148" i="2"/>
  <c r="S144" i="2"/>
  <c r="S136" i="2"/>
  <c r="S128" i="2"/>
  <c r="S120" i="2"/>
  <c r="S116" i="2"/>
  <c r="S112" i="2"/>
  <c r="S108" i="2"/>
  <c r="S104" i="2"/>
  <c r="S96" i="2"/>
  <c r="S84" i="2"/>
  <c r="S80" i="2"/>
  <c r="S76" i="2"/>
  <c r="S72" i="2"/>
  <c r="S68" i="2"/>
  <c r="S64" i="2"/>
  <c r="S60" i="2"/>
  <c r="S52" i="2"/>
  <c r="S48" i="2"/>
  <c r="S44" i="2"/>
  <c r="S40" i="2"/>
  <c r="S36" i="2"/>
  <c r="S32" i="2"/>
  <c r="S28" i="2"/>
  <c r="S24" i="2"/>
  <c r="S20" i="2"/>
  <c r="S16" i="2"/>
  <c r="S12" i="2"/>
  <c r="S4" i="2"/>
  <c r="A15" i="3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A6" i="2" l="1"/>
  <c r="T4" i="2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K342" i="3"/>
  <c r="K334" i="3"/>
  <c r="K326" i="3"/>
  <c r="K318" i="3"/>
  <c r="K310" i="3"/>
  <c r="K302" i="3"/>
  <c r="K294" i="3"/>
  <c r="K282" i="3"/>
  <c r="K266" i="3"/>
  <c r="K250" i="3"/>
  <c r="K234" i="3"/>
  <c r="K210" i="3"/>
  <c r="K194" i="3"/>
  <c r="K178" i="3"/>
  <c r="K162" i="3"/>
  <c r="K146" i="3"/>
  <c r="K130" i="3"/>
  <c r="K112" i="3"/>
  <c r="K80" i="3"/>
  <c r="K16" i="3"/>
  <c r="K341" i="3"/>
  <c r="K333" i="3"/>
  <c r="K325" i="3"/>
  <c r="K317" i="3"/>
  <c r="K309" i="3"/>
  <c r="K301" i="3"/>
  <c r="K293" i="3"/>
  <c r="K273" i="3"/>
  <c r="K257" i="3"/>
  <c r="K241" i="3"/>
  <c r="K225" i="3"/>
  <c r="K209" i="3"/>
  <c r="K193" i="3"/>
  <c r="K177" i="3"/>
  <c r="K161" i="3"/>
  <c r="K145" i="3"/>
  <c r="K129" i="3"/>
  <c r="K111" i="3"/>
  <c r="K79" i="3"/>
  <c r="K47" i="3"/>
  <c r="K15" i="3"/>
  <c r="K530" i="3"/>
  <c r="K527" i="3"/>
  <c r="K465" i="3"/>
  <c r="K519" i="3"/>
  <c r="K514" i="3"/>
  <c r="K516" i="3"/>
  <c r="K495" i="3"/>
  <c r="K454" i="3"/>
  <c r="K386" i="3"/>
  <c r="K344" i="3"/>
  <c r="K340" i="3"/>
  <c r="K336" i="3"/>
  <c r="K332" i="3"/>
  <c r="K328" i="3"/>
  <c r="K324" i="3"/>
  <c r="K320" i="3"/>
  <c r="K316" i="3"/>
  <c r="K312" i="3"/>
  <c r="K308" i="3"/>
  <c r="K304" i="3"/>
  <c r="K300" i="3"/>
  <c r="K296" i="3"/>
  <c r="K292" i="3"/>
  <c r="K286" i="3"/>
  <c r="K278" i="3"/>
  <c r="K270" i="3"/>
  <c r="K262" i="3"/>
  <c r="K254" i="3"/>
  <c r="K246" i="3"/>
  <c r="K238" i="3"/>
  <c r="K230" i="3"/>
  <c r="K222" i="3"/>
  <c r="K214" i="3"/>
  <c r="K206" i="3"/>
  <c r="K198" i="3"/>
  <c r="K190" i="3"/>
  <c r="K182" i="3"/>
  <c r="K174" i="3"/>
  <c r="K166" i="3"/>
  <c r="K158" i="3"/>
  <c r="K150" i="3"/>
  <c r="K142" i="3"/>
  <c r="K134" i="3"/>
  <c r="K126" i="3"/>
  <c r="K118" i="3"/>
  <c r="K104" i="3"/>
  <c r="K88" i="3"/>
  <c r="K72" i="3"/>
  <c r="K56" i="3"/>
  <c r="K40" i="3"/>
  <c r="K24" i="3"/>
  <c r="K8" i="3"/>
  <c r="K510" i="3"/>
  <c r="K413" i="3"/>
  <c r="K551" i="3"/>
  <c r="K436" i="3"/>
  <c r="K481" i="3"/>
  <c r="K528" i="3"/>
  <c r="K558" i="3"/>
  <c r="K463" i="3"/>
  <c r="K542" i="3"/>
  <c r="K426" i="3"/>
  <c r="K346" i="3"/>
  <c r="K382" i="3"/>
  <c r="K569" i="3"/>
  <c r="K374" i="3"/>
  <c r="K338" i="3"/>
  <c r="K330" i="3"/>
  <c r="K322" i="3"/>
  <c r="K314" i="3"/>
  <c r="K306" i="3"/>
  <c r="K298" i="3"/>
  <c r="K289" i="3"/>
  <c r="K274" i="3"/>
  <c r="K258" i="3"/>
  <c r="K242" i="3"/>
  <c r="K226" i="3"/>
  <c r="K218" i="3"/>
  <c r="K202" i="3"/>
  <c r="K186" i="3"/>
  <c r="K170" i="3"/>
  <c r="K154" i="3"/>
  <c r="K138" i="3"/>
  <c r="K122" i="3"/>
  <c r="K96" i="3"/>
  <c r="K64" i="3"/>
  <c r="K48" i="3"/>
  <c r="K32" i="3"/>
  <c r="K434" i="3"/>
  <c r="K557" i="3"/>
  <c r="K567" i="3"/>
  <c r="K371" i="3"/>
  <c r="K549" i="3"/>
  <c r="K540" i="3"/>
  <c r="K480" i="3"/>
  <c r="K407" i="3"/>
  <c r="K422" i="3"/>
  <c r="K497" i="3"/>
  <c r="K396" i="3"/>
  <c r="K348" i="3"/>
  <c r="K478" i="3"/>
  <c r="K384" i="3"/>
  <c r="K376" i="3"/>
  <c r="K337" i="3"/>
  <c r="K329" i="3"/>
  <c r="K321" i="3"/>
  <c r="K313" i="3"/>
  <c r="K305" i="3"/>
  <c r="K297" i="3"/>
  <c r="K288" i="3"/>
  <c r="K281" i="3"/>
  <c r="K265" i="3"/>
  <c r="K249" i="3"/>
  <c r="K233" i="3"/>
  <c r="K217" i="3"/>
  <c r="K201" i="3"/>
  <c r="K185" i="3"/>
  <c r="K169" i="3"/>
  <c r="K153" i="3"/>
  <c r="K137" i="3"/>
  <c r="K121" i="3"/>
  <c r="K95" i="3"/>
  <c r="K63" i="3"/>
  <c r="K31" i="3"/>
  <c r="K410" i="3"/>
  <c r="K430" i="3"/>
  <c r="K547" i="3"/>
  <c r="K439" i="3"/>
  <c r="K350" i="3"/>
  <c r="K343" i="3"/>
  <c r="K339" i="3"/>
  <c r="K335" i="3"/>
  <c r="K331" i="3"/>
  <c r="K327" i="3"/>
  <c r="K323" i="3"/>
  <c r="K319" i="3"/>
  <c r="K315" i="3"/>
  <c r="K311" i="3"/>
  <c r="K307" i="3"/>
  <c r="K303" i="3"/>
  <c r="K299" i="3"/>
  <c r="K295" i="3"/>
  <c r="K290" i="3"/>
  <c r="K285" i="3"/>
  <c r="K277" i="3"/>
  <c r="K269" i="3"/>
  <c r="K261" i="3"/>
  <c r="K253" i="3"/>
  <c r="K245" i="3"/>
  <c r="K237" i="3"/>
  <c r="K229" i="3"/>
  <c r="K221" i="3"/>
  <c r="K213" i="3"/>
  <c r="K205" i="3"/>
  <c r="K197" i="3"/>
  <c r="K189" i="3"/>
  <c r="K181" i="3"/>
  <c r="K173" i="3"/>
  <c r="K165" i="3"/>
  <c r="K157" i="3"/>
  <c r="K149" i="3"/>
  <c r="K141" i="3"/>
  <c r="K133" i="3"/>
  <c r="K125" i="3"/>
  <c r="K117" i="3"/>
  <c r="K103" i="3"/>
  <c r="K87" i="3"/>
  <c r="K71" i="3"/>
  <c r="K55" i="3"/>
  <c r="K39" i="3"/>
  <c r="K23" i="3"/>
  <c r="K7" i="3"/>
  <c r="K440" i="3"/>
  <c r="K489" i="3"/>
  <c r="K457" i="3"/>
  <c r="K447" i="3"/>
  <c r="K472" i="3"/>
  <c r="K539" i="3"/>
  <c r="K424" i="3"/>
  <c r="K401" i="3"/>
  <c r="K536" i="3"/>
  <c r="K520" i="3"/>
  <c r="K506" i="3"/>
  <c r="K512" i="3"/>
  <c r="K563" i="3"/>
  <c r="K466" i="3"/>
  <c r="K284" i="3"/>
  <c r="K280" i="3"/>
  <c r="K276" i="3"/>
  <c r="K272" i="3"/>
  <c r="K268" i="3"/>
  <c r="K264" i="3"/>
  <c r="K260" i="3"/>
  <c r="K256" i="3"/>
  <c r="K252" i="3"/>
  <c r="K248" i="3"/>
  <c r="K244" i="3"/>
  <c r="K240" i="3"/>
  <c r="K236" i="3"/>
  <c r="K232" i="3"/>
  <c r="K228" i="3"/>
  <c r="K224" i="3"/>
  <c r="K220" i="3"/>
  <c r="K216" i="3"/>
  <c r="K212" i="3"/>
  <c r="K208" i="3"/>
  <c r="K204" i="3"/>
  <c r="K200" i="3"/>
  <c r="K196" i="3"/>
  <c r="K192" i="3"/>
  <c r="K188" i="3"/>
  <c r="K184" i="3"/>
  <c r="K180" i="3"/>
  <c r="K176" i="3"/>
  <c r="K172" i="3"/>
  <c r="K168" i="3"/>
  <c r="K164" i="3"/>
  <c r="K160" i="3"/>
  <c r="K156" i="3"/>
  <c r="K152" i="3"/>
  <c r="K148" i="3"/>
  <c r="K144" i="3"/>
  <c r="K140" i="3"/>
  <c r="K136" i="3"/>
  <c r="K132" i="3"/>
  <c r="K128" i="3"/>
  <c r="K124" i="3"/>
  <c r="K120" i="3"/>
  <c r="K116" i="3"/>
  <c r="K108" i="3"/>
  <c r="K100" i="3"/>
  <c r="K92" i="3"/>
  <c r="K84" i="3"/>
  <c r="K76" i="3"/>
  <c r="K68" i="3"/>
  <c r="K60" i="3"/>
  <c r="K52" i="3"/>
  <c r="K44" i="3"/>
  <c r="K36" i="3"/>
  <c r="K28" i="3"/>
  <c r="K20" i="3"/>
  <c r="K12" i="3"/>
  <c r="K4" i="3"/>
  <c r="K412" i="3"/>
  <c r="K535" i="3"/>
  <c r="K461" i="3"/>
  <c r="K393" i="3"/>
  <c r="K400" i="3"/>
  <c r="K399" i="3"/>
  <c r="K464" i="3"/>
  <c r="K458" i="3"/>
  <c r="K435" i="3"/>
  <c r="K397" i="3"/>
  <c r="K471" i="3"/>
  <c r="K354" i="3"/>
  <c r="K406" i="3"/>
  <c r="K446" i="3"/>
  <c r="K553" i="3"/>
  <c r="K488" i="3"/>
  <c r="K469" i="3"/>
  <c r="K496" i="3"/>
  <c r="K379" i="3"/>
  <c r="K504" i="3"/>
  <c r="K491" i="3"/>
  <c r="K355" i="3"/>
  <c r="K360" i="3"/>
  <c r="K524" i="3"/>
  <c r="K552" i="3"/>
  <c r="K490" i="3"/>
  <c r="K367" i="3"/>
  <c r="K493" i="3"/>
  <c r="K291" i="3"/>
  <c r="K287" i="3"/>
  <c r="K283" i="3"/>
  <c r="K279" i="3"/>
  <c r="K275" i="3"/>
  <c r="K271" i="3"/>
  <c r="K267" i="3"/>
  <c r="K263" i="3"/>
  <c r="K259" i="3"/>
  <c r="K255" i="3"/>
  <c r="K251" i="3"/>
  <c r="K247" i="3"/>
  <c r="K243" i="3"/>
  <c r="K239" i="3"/>
  <c r="K235" i="3"/>
  <c r="K231" i="3"/>
  <c r="K227" i="3"/>
  <c r="K223" i="3"/>
  <c r="K219" i="3"/>
  <c r="K215" i="3"/>
  <c r="K211" i="3"/>
  <c r="K207" i="3"/>
  <c r="K203" i="3"/>
  <c r="K199" i="3"/>
  <c r="K195" i="3"/>
  <c r="K191" i="3"/>
  <c r="K187" i="3"/>
  <c r="K183" i="3"/>
  <c r="K179" i="3"/>
  <c r="K175" i="3"/>
  <c r="K171" i="3"/>
  <c r="K167" i="3"/>
  <c r="K163" i="3"/>
  <c r="K159" i="3"/>
  <c r="K155" i="3"/>
  <c r="K151" i="3"/>
  <c r="K147" i="3"/>
  <c r="K143" i="3"/>
  <c r="K139" i="3"/>
  <c r="K135" i="3"/>
  <c r="K131" i="3"/>
  <c r="K127" i="3"/>
  <c r="K123" i="3"/>
  <c r="K119" i="3"/>
  <c r="K115" i="3"/>
  <c r="K107" i="3"/>
  <c r="K99" i="3"/>
  <c r="K91" i="3"/>
  <c r="K83" i="3"/>
  <c r="K75" i="3"/>
  <c r="K67" i="3"/>
  <c r="K59" i="3"/>
  <c r="K51" i="3"/>
  <c r="K43" i="3"/>
  <c r="K35" i="3"/>
  <c r="K27" i="3"/>
  <c r="K19" i="3"/>
  <c r="K11" i="3"/>
  <c r="K3" i="3"/>
  <c r="K411" i="3"/>
  <c r="K404" i="3"/>
  <c r="K486" i="3"/>
  <c r="K373" i="3"/>
  <c r="K487" i="3"/>
  <c r="K531" i="3"/>
  <c r="K541" i="3"/>
  <c r="K433" i="3"/>
  <c r="K366" i="3"/>
  <c r="K559" i="3"/>
  <c r="K417" i="3"/>
  <c r="K353" i="3"/>
  <c r="K498" i="3"/>
  <c r="K554" i="3"/>
  <c r="K526" i="3"/>
  <c r="K441" i="3"/>
  <c r="K501" i="3"/>
  <c r="K352" i="3"/>
  <c r="K517" i="3"/>
  <c r="K427" i="3"/>
  <c r="K444" i="3"/>
  <c r="K362" i="3"/>
  <c r="K378" i="3"/>
  <c r="K345" i="3"/>
  <c r="K544" i="3"/>
  <c r="K380" i="3"/>
  <c r="K388" i="3"/>
  <c r="K470" i="3"/>
  <c r="K114" i="3"/>
  <c r="K110" i="3"/>
  <c r="K106" i="3"/>
  <c r="K102" i="3"/>
  <c r="K98" i="3"/>
  <c r="K94" i="3"/>
  <c r="K90" i="3"/>
  <c r="K86" i="3"/>
  <c r="K82" i="3"/>
  <c r="K78" i="3"/>
  <c r="K74" i="3"/>
  <c r="K70" i="3"/>
  <c r="K66" i="3"/>
  <c r="K62" i="3"/>
  <c r="K58" i="3"/>
  <c r="K54" i="3"/>
  <c r="K50" i="3"/>
  <c r="K46" i="3"/>
  <c r="K42" i="3"/>
  <c r="K38" i="3"/>
  <c r="K34" i="3"/>
  <c r="K30" i="3"/>
  <c r="K26" i="3"/>
  <c r="K22" i="3"/>
  <c r="K18" i="3"/>
  <c r="K14" i="3"/>
  <c r="K10" i="3"/>
  <c r="K6" i="3"/>
  <c r="K2" i="3"/>
  <c r="K409" i="3"/>
  <c r="K408" i="3"/>
  <c r="K479" i="3"/>
  <c r="K555" i="3"/>
  <c r="K416" i="3"/>
  <c r="K394" i="3"/>
  <c r="K451" i="3"/>
  <c r="K453" i="3"/>
  <c r="K432" i="3"/>
  <c r="K421" i="3"/>
  <c r="K431" i="3"/>
  <c r="K534" i="3"/>
  <c r="K419" i="3"/>
  <c r="K418" i="3"/>
  <c r="K392" i="3"/>
  <c r="K449" i="3"/>
  <c r="K398" i="3"/>
  <c r="K391" i="3"/>
  <c r="K503" i="3"/>
  <c r="K450" i="3"/>
  <c r="K467" i="3"/>
  <c r="K484" i="3"/>
  <c r="K370" i="3"/>
  <c r="K425" i="3"/>
  <c r="K452" i="3"/>
  <c r="K429" i="3"/>
  <c r="K477" i="3"/>
  <c r="K533" i="3"/>
  <c r="K556" i="3"/>
  <c r="K405" i="3"/>
  <c r="K508" i="3"/>
  <c r="K538" i="3"/>
  <c r="K521" i="3"/>
  <c r="K445" i="3"/>
  <c r="K543" i="3"/>
  <c r="K529" i="3"/>
  <c r="K525" i="3"/>
  <c r="K522" i="3"/>
  <c r="K473" i="3"/>
  <c r="K438" i="3"/>
  <c r="K475" i="3"/>
  <c r="K443" i="3"/>
  <c r="K507" i="3"/>
  <c r="K347" i="3"/>
  <c r="K349" i="3"/>
  <c r="K500" i="3"/>
  <c r="K546" i="3"/>
  <c r="K383" i="3"/>
  <c r="K483" i="3"/>
  <c r="K560" i="3"/>
  <c r="K482" i="3"/>
  <c r="K395" i="3"/>
  <c r="K364" i="3"/>
  <c r="K390" i="3"/>
  <c r="K361" i="3"/>
  <c r="K385" i="3"/>
  <c r="K113" i="3"/>
  <c r="K109" i="3"/>
  <c r="K105" i="3"/>
  <c r="K101" i="3"/>
  <c r="K97" i="3"/>
  <c r="K93" i="3"/>
  <c r="K89" i="3"/>
  <c r="K85" i="3"/>
  <c r="K81" i="3"/>
  <c r="K77" i="3"/>
  <c r="K73" i="3"/>
  <c r="K69" i="3"/>
  <c r="K65" i="3"/>
  <c r="K61" i="3"/>
  <c r="K57" i="3"/>
  <c r="K53" i="3"/>
  <c r="K49" i="3"/>
  <c r="K45" i="3"/>
  <c r="K41" i="3"/>
  <c r="K37" i="3"/>
  <c r="K33" i="3"/>
  <c r="K29" i="3"/>
  <c r="K25" i="3"/>
  <c r="K21" i="3"/>
  <c r="K17" i="3"/>
  <c r="K13" i="3"/>
  <c r="K9" i="3"/>
  <c r="K5" i="3"/>
  <c r="K474" i="3"/>
  <c r="K403" i="3"/>
  <c r="K377" i="3"/>
  <c r="K351" i="3"/>
  <c r="K566" i="3"/>
  <c r="K456" i="3"/>
  <c r="K414" i="3"/>
  <c r="K423" i="3"/>
  <c r="K550" i="3"/>
  <c r="K502" i="3"/>
  <c r="K389" i="3"/>
  <c r="K468" i="3"/>
  <c r="K509" i="3"/>
  <c r="K505" i="3"/>
  <c r="K515" i="3"/>
  <c r="K448" i="3"/>
  <c r="K537" i="3"/>
  <c r="K492" i="3"/>
  <c r="K372" i="3"/>
  <c r="K494" i="3"/>
  <c r="K532" i="3"/>
  <c r="K459" i="3"/>
  <c r="K428" i="3"/>
  <c r="K548" i="3"/>
  <c r="K415" i="3"/>
  <c r="K402" i="3"/>
  <c r="K359" i="3"/>
  <c r="K499" i="3"/>
  <c r="K545" i="3"/>
  <c r="K568" i="3"/>
  <c r="K437" i="3"/>
  <c r="K511" i="3"/>
  <c r="K420" i="3"/>
  <c r="K564" i="3"/>
  <c r="K523" i="3"/>
  <c r="K485" i="3"/>
  <c r="K561" i="3"/>
  <c r="K562" i="3"/>
  <c r="K518" i="3"/>
  <c r="K462" i="3"/>
  <c r="K460" i="3"/>
  <c r="K455" i="3"/>
  <c r="K357" i="3"/>
  <c r="K356" i="3"/>
  <c r="K358" i="3"/>
  <c r="K363" i="3"/>
  <c r="K368" i="3"/>
  <c r="K570" i="3"/>
  <c r="K442" i="3"/>
  <c r="K565" i="3"/>
  <c r="K513" i="3"/>
  <c r="K476" i="3"/>
  <c r="K381" i="3"/>
  <c r="K365" i="3"/>
  <c r="K369" i="3"/>
  <c r="K375" i="3"/>
  <c r="K387" i="3"/>
  <c r="K124" i="2"/>
  <c r="L124" i="2" s="1"/>
  <c r="K75" i="2"/>
  <c r="L75" i="2" s="1"/>
  <c r="K143" i="2"/>
  <c r="L143" i="2" s="1"/>
  <c r="K166" i="2"/>
  <c r="L166" i="2" s="1"/>
  <c r="K95" i="2"/>
  <c r="L95" i="2" s="1"/>
  <c r="K112" i="2"/>
  <c r="L112" i="2" s="1"/>
  <c r="K77" i="2"/>
  <c r="L77" i="2" s="1"/>
  <c r="K219" i="2"/>
  <c r="L219" i="2" s="1"/>
  <c r="K31" i="2"/>
  <c r="L31" i="2" s="1"/>
  <c r="K70" i="2"/>
  <c r="L70" i="2" s="1"/>
  <c r="K103" i="2"/>
  <c r="L103" i="2" s="1"/>
  <c r="K26" i="2"/>
  <c r="L26" i="2" s="1"/>
  <c r="K165" i="2"/>
  <c r="L165" i="2" s="1"/>
  <c r="K101" i="2"/>
  <c r="L101" i="2" s="1"/>
  <c r="K207" i="2"/>
  <c r="L207" i="2" s="1"/>
  <c r="K38" i="2"/>
  <c r="L38" i="2" s="1"/>
  <c r="K167" i="2"/>
  <c r="L167" i="2" s="1"/>
  <c r="K142" i="2"/>
  <c r="L142" i="2" s="1"/>
  <c r="K102" i="2"/>
  <c r="L102" i="2" s="1"/>
  <c r="K210" i="2"/>
  <c r="L210" i="2" s="1"/>
  <c r="K141" i="2"/>
  <c r="L141" i="2" s="1"/>
  <c r="K139" i="2"/>
  <c r="L139" i="2" s="1"/>
  <c r="K10" i="2"/>
  <c r="L10" i="2" s="1"/>
  <c r="K133" i="2"/>
  <c r="L133" i="2" s="1"/>
  <c r="K33" i="2"/>
  <c r="L33" i="2" s="1"/>
  <c r="K27" i="2"/>
  <c r="L27" i="2" s="1"/>
  <c r="K109" i="2"/>
  <c r="L109" i="2" s="1"/>
  <c r="K224" i="2"/>
  <c r="L224" i="2" s="1"/>
  <c r="K155" i="2"/>
  <c r="L155" i="2" s="1"/>
  <c r="K156" i="2"/>
  <c r="L156" i="2" s="1"/>
  <c r="K56" i="2"/>
  <c r="L56" i="2" s="1"/>
  <c r="K204" i="2"/>
  <c r="L204" i="2" s="1"/>
  <c r="K24" i="2"/>
  <c r="L24" i="2" s="1"/>
  <c r="K179" i="2"/>
  <c r="L179" i="2" s="1"/>
  <c r="K16" i="2"/>
  <c r="L16" i="2" s="1"/>
  <c r="K65" i="2"/>
  <c r="L65" i="2" s="1"/>
  <c r="K5" i="2"/>
  <c r="L5" i="2" s="1"/>
  <c r="K186" i="2"/>
  <c r="L186" i="2" s="1"/>
  <c r="K146" i="2"/>
  <c r="L146" i="2" s="1"/>
  <c r="K180" i="2"/>
  <c r="L180" i="2" s="1"/>
  <c r="K107" i="2"/>
  <c r="L107" i="2" s="1"/>
  <c r="K57" i="2"/>
  <c r="L57" i="2" s="1"/>
  <c r="K46" i="2"/>
  <c r="L46" i="2" s="1"/>
  <c r="K117" i="2"/>
  <c r="L117" i="2" s="1"/>
  <c r="K136" i="2"/>
  <c r="L136" i="2" s="1"/>
  <c r="K59" i="2"/>
  <c r="L59" i="2" s="1"/>
  <c r="K197" i="2"/>
  <c r="L197" i="2" s="1"/>
  <c r="K86" i="2"/>
  <c r="L86" i="2" s="1"/>
  <c r="K173" i="2"/>
  <c r="L173" i="2" s="1"/>
  <c r="K110" i="2"/>
  <c r="L110" i="2" s="1"/>
  <c r="K178" i="2"/>
  <c r="L178" i="2" s="1"/>
  <c r="K119" i="2"/>
  <c r="L119" i="2" s="1"/>
  <c r="K164" i="2"/>
  <c r="L164" i="2" s="1"/>
  <c r="K150" i="2"/>
  <c r="L150" i="2" s="1"/>
  <c r="K213" i="2"/>
  <c r="L213" i="2" s="1"/>
  <c r="K19" i="2"/>
  <c r="L19" i="2" s="1"/>
  <c r="K206" i="2"/>
  <c r="L206" i="2" s="1"/>
  <c r="K44" i="2"/>
  <c r="L44" i="2" s="1"/>
  <c r="K8" i="2"/>
  <c r="L8" i="2" s="1"/>
  <c r="K125" i="2"/>
  <c r="L125" i="2" s="1"/>
  <c r="K205" i="2"/>
  <c r="L205" i="2" s="1"/>
  <c r="K91" i="2"/>
  <c r="L91" i="2" s="1"/>
  <c r="K9" i="2"/>
  <c r="L9" i="2" s="1"/>
  <c r="K78" i="2"/>
  <c r="L78" i="2" s="1"/>
  <c r="K174" i="2"/>
  <c r="L174" i="2" s="1"/>
  <c r="K159" i="2"/>
  <c r="L159" i="2" s="1"/>
  <c r="K49" i="2"/>
  <c r="L49" i="2" s="1"/>
  <c r="K114" i="2"/>
  <c r="L114" i="2" s="1"/>
  <c r="K39" i="2"/>
  <c r="L39" i="2" s="1"/>
  <c r="K172" i="2"/>
  <c r="L172" i="2" s="1"/>
  <c r="K176" i="2"/>
  <c r="L176" i="2" s="1"/>
  <c r="K175" i="2"/>
  <c r="L175" i="2" s="1"/>
  <c r="K93" i="2"/>
  <c r="L93" i="2" s="1"/>
  <c r="K62" i="2"/>
  <c r="L62" i="2" s="1"/>
  <c r="K149" i="2"/>
  <c r="L149" i="2" s="1"/>
  <c r="K111" i="2"/>
  <c r="L111" i="2" s="1"/>
  <c r="K116" i="2"/>
  <c r="L116" i="2" s="1"/>
  <c r="K20" i="2"/>
  <c r="L20" i="2" s="1"/>
  <c r="K37" i="2"/>
  <c r="L37" i="2" s="1"/>
  <c r="K69" i="2"/>
  <c r="L69" i="2" s="1"/>
  <c r="K105" i="2"/>
  <c r="L105" i="2" s="1"/>
  <c r="K137" i="2"/>
  <c r="L137" i="2" s="1"/>
  <c r="K169" i="2"/>
  <c r="L169" i="2" s="1"/>
  <c r="K201" i="2"/>
  <c r="L201" i="2" s="1"/>
  <c r="K15" i="2"/>
  <c r="L15" i="2" s="1"/>
  <c r="K83" i="2"/>
  <c r="L83" i="2" s="1"/>
  <c r="K147" i="2"/>
  <c r="L147" i="2" s="1"/>
  <c r="K3" i="2"/>
  <c r="L3" i="2" s="1"/>
  <c r="K42" i="2"/>
  <c r="L42" i="2" s="1"/>
  <c r="K74" i="2"/>
  <c r="L74" i="2" s="1"/>
  <c r="K106" i="2"/>
  <c r="L106" i="2" s="1"/>
  <c r="K170" i="2"/>
  <c r="L170" i="2" s="1"/>
  <c r="K21" i="2"/>
  <c r="L21" i="2" s="1"/>
  <c r="K151" i="2"/>
  <c r="L151" i="2" s="1"/>
  <c r="K140" i="2"/>
  <c r="L140" i="2" s="1"/>
  <c r="K214" i="2"/>
  <c r="L214" i="2" s="1"/>
  <c r="K60" i="2"/>
  <c r="L60" i="2" s="1"/>
  <c r="K80" i="2"/>
  <c r="L80" i="2" s="1"/>
  <c r="K4" i="2"/>
  <c r="L4" i="2" s="1"/>
  <c r="K13" i="2"/>
  <c r="L13" i="2" s="1"/>
  <c r="K53" i="2"/>
  <c r="L53" i="2" s="1"/>
  <c r="K89" i="2"/>
  <c r="L89" i="2" s="1"/>
  <c r="K121" i="2"/>
  <c r="L121" i="2" s="1"/>
  <c r="K153" i="2"/>
  <c r="L153" i="2" s="1"/>
  <c r="K185" i="2"/>
  <c r="L185" i="2" s="1"/>
  <c r="K217" i="2"/>
  <c r="L217" i="2" s="1"/>
  <c r="K51" i="2"/>
  <c r="L51" i="2" s="1"/>
  <c r="K115" i="2"/>
  <c r="L115" i="2" s="1"/>
  <c r="K183" i="2"/>
  <c r="L183" i="2" s="1"/>
  <c r="K25" i="2"/>
  <c r="L25" i="2" s="1"/>
  <c r="K58" i="2"/>
  <c r="L58" i="2" s="1"/>
  <c r="K90" i="2"/>
  <c r="L90" i="2" s="1"/>
  <c r="K138" i="2"/>
  <c r="L138" i="2" s="1"/>
  <c r="K202" i="2"/>
  <c r="L202" i="2" s="1"/>
  <c r="K87" i="2"/>
  <c r="L87" i="2" s="1"/>
  <c r="K6" i="2"/>
  <c r="L6" i="2" s="1"/>
  <c r="K118" i="2"/>
  <c r="L118" i="2" s="1"/>
  <c r="K182" i="2"/>
  <c r="L182" i="2" s="1"/>
  <c r="K47" i="2"/>
  <c r="L47" i="2" s="1"/>
  <c r="K171" i="2"/>
  <c r="L171" i="2" s="1"/>
  <c r="K188" i="2"/>
  <c r="L188" i="2" s="1"/>
  <c r="K120" i="2"/>
  <c r="L120" i="2" s="1"/>
  <c r="K208" i="2"/>
  <c r="L208" i="2" s="1"/>
  <c r="K200" i="2"/>
  <c r="L200" i="2" s="1"/>
  <c r="K22" i="2"/>
  <c r="L22" i="2" s="1"/>
  <c r="K32" i="2"/>
  <c r="L32" i="2" s="1"/>
  <c r="K160" i="2"/>
  <c r="L160" i="2" s="1"/>
  <c r="K68" i="2"/>
  <c r="L68" i="2" s="1"/>
  <c r="K104" i="2"/>
  <c r="L104" i="2" s="1"/>
  <c r="K54" i="2"/>
  <c r="L54" i="2" s="1"/>
  <c r="K157" i="2"/>
  <c r="L157" i="2" s="1"/>
  <c r="K94" i="2"/>
  <c r="L94" i="2" s="1"/>
  <c r="K134" i="2"/>
  <c r="L134" i="2" s="1"/>
  <c r="K36" i="2"/>
  <c r="L36" i="2" s="1"/>
  <c r="K181" i="2"/>
  <c r="L181" i="2" s="1"/>
  <c r="K228" i="2"/>
  <c r="L228" i="2" s="1"/>
  <c r="K191" i="2"/>
  <c r="L191" i="2" s="1"/>
  <c r="K7" i="2"/>
  <c r="L7" i="2" s="1"/>
  <c r="K28" i="2"/>
  <c r="L28" i="2" s="1"/>
  <c r="K45" i="2"/>
  <c r="L45" i="2" s="1"/>
  <c r="K81" i="2"/>
  <c r="L81" i="2" s="1"/>
  <c r="K113" i="2"/>
  <c r="L113" i="2" s="1"/>
  <c r="K145" i="2"/>
  <c r="L145" i="2" s="1"/>
  <c r="K177" i="2"/>
  <c r="L177" i="2" s="1"/>
  <c r="K209" i="2"/>
  <c r="L209" i="2" s="1"/>
  <c r="K35" i="2"/>
  <c r="L35" i="2" s="1"/>
  <c r="K99" i="2"/>
  <c r="L99" i="2" s="1"/>
  <c r="K163" i="2"/>
  <c r="L163" i="2" s="1"/>
  <c r="K14" i="2"/>
  <c r="L14" i="2" s="1"/>
  <c r="K50" i="2"/>
  <c r="L50" i="2" s="1"/>
  <c r="K82" i="2"/>
  <c r="L82" i="2" s="1"/>
  <c r="K126" i="2"/>
  <c r="L126" i="2" s="1"/>
  <c r="K190" i="2"/>
  <c r="L190" i="2" s="1"/>
  <c r="K63" i="2"/>
  <c r="L63" i="2" s="1"/>
  <c r="K187" i="2"/>
  <c r="L187" i="2" s="1"/>
  <c r="K215" i="2"/>
  <c r="L215" i="2" s="1"/>
  <c r="K162" i="2"/>
  <c r="L162" i="2" s="1"/>
  <c r="K226" i="2"/>
  <c r="L226" i="2" s="1"/>
  <c r="K135" i="2"/>
  <c r="L135" i="2" s="1"/>
  <c r="K108" i="2"/>
  <c r="L108" i="2" s="1"/>
  <c r="K227" i="2"/>
  <c r="L227" i="2" s="1"/>
  <c r="K144" i="2"/>
  <c r="L144" i="2" s="1"/>
  <c r="K72" i="2"/>
  <c r="L72" i="2" s="1"/>
  <c r="K85" i="2"/>
  <c r="L85" i="2" s="1"/>
  <c r="K64" i="2"/>
  <c r="L64" i="2" s="1"/>
  <c r="K220" i="2"/>
  <c r="L220" i="2" s="1"/>
  <c r="K218" i="2"/>
  <c r="L218" i="2" s="1"/>
  <c r="K198" i="2"/>
  <c r="L198" i="2" s="1"/>
  <c r="K43" i="2"/>
  <c r="L43" i="2" s="1"/>
  <c r="K199" i="2"/>
  <c r="L199" i="2" s="1"/>
  <c r="K88" i="2"/>
  <c r="L88" i="2" s="1"/>
  <c r="K168" i="2"/>
  <c r="L168" i="2" s="1"/>
  <c r="K48" i="2"/>
  <c r="L48" i="2" s="1"/>
  <c r="K40" i="2"/>
  <c r="L40" i="2" s="1"/>
  <c r="K73" i="2"/>
  <c r="L73" i="2" s="1"/>
  <c r="K148" i="2"/>
  <c r="L148" i="2" s="1"/>
  <c r="K152" i="2"/>
  <c r="L152" i="2" s="1"/>
  <c r="K96" i="2"/>
  <c r="L96" i="2" s="1"/>
  <c r="K216" i="2"/>
  <c r="L216" i="2" s="1"/>
  <c r="K196" i="2"/>
  <c r="L196" i="2" s="1"/>
  <c r="K41" i="2"/>
  <c r="L41" i="2" s="1"/>
  <c r="K184" i="2"/>
  <c r="L184" i="2" s="1"/>
  <c r="K123" i="2"/>
  <c r="L123" i="2" s="1"/>
  <c r="K76" i="2"/>
  <c r="L76" i="2" s="1"/>
  <c r="K79" i="2"/>
  <c r="L79" i="2" s="1"/>
  <c r="K100" i="2"/>
  <c r="L100" i="2" s="1"/>
  <c r="K122" i="2"/>
  <c r="L122" i="2" s="1"/>
  <c r="K189" i="2"/>
  <c r="L189" i="2" s="1"/>
  <c r="K154" i="2"/>
  <c r="L154" i="2" s="1"/>
  <c r="K12" i="2"/>
  <c r="L12" i="2" s="1"/>
  <c r="K23" i="2"/>
  <c r="L23" i="2" s="1"/>
  <c r="K61" i="2"/>
  <c r="L61" i="2" s="1"/>
  <c r="K97" i="2"/>
  <c r="L97" i="2" s="1"/>
  <c r="K129" i="2"/>
  <c r="L129" i="2" s="1"/>
  <c r="K161" i="2"/>
  <c r="L161" i="2" s="1"/>
  <c r="K193" i="2"/>
  <c r="L193" i="2" s="1"/>
  <c r="K225" i="2"/>
  <c r="L225" i="2" s="1"/>
  <c r="K67" i="2"/>
  <c r="L67" i="2" s="1"/>
  <c r="K131" i="2"/>
  <c r="L131" i="2" s="1"/>
  <c r="K203" i="2"/>
  <c r="L203" i="2" s="1"/>
  <c r="K34" i="2"/>
  <c r="L34" i="2" s="1"/>
  <c r="K66" i="2"/>
  <c r="L66" i="2" s="1"/>
  <c r="K98" i="2"/>
  <c r="L98" i="2" s="1"/>
  <c r="K158" i="2"/>
  <c r="L158" i="2" s="1"/>
  <c r="K222" i="2"/>
  <c r="L222" i="2" s="1"/>
  <c r="K127" i="2"/>
  <c r="L127" i="2" s="1"/>
  <c r="K92" i="2"/>
  <c r="L92" i="2" s="1"/>
  <c r="K130" i="2"/>
  <c r="L130" i="2" s="1"/>
  <c r="K194" i="2"/>
  <c r="L194" i="2" s="1"/>
  <c r="K71" i="2"/>
  <c r="L71" i="2" s="1"/>
  <c r="K195" i="2"/>
  <c r="L195" i="2" s="1"/>
  <c r="K223" i="2"/>
  <c r="L223" i="2" s="1"/>
  <c r="K11" i="2"/>
  <c r="L11" i="2" s="1"/>
  <c r="K52" i="2"/>
  <c r="L52" i="2" s="1"/>
  <c r="K18" i="2"/>
  <c r="L18" i="2" s="1"/>
  <c r="K211" i="2"/>
  <c r="L211" i="2" s="1"/>
  <c r="K132" i="2"/>
  <c r="L132" i="2" s="1"/>
  <c r="K212" i="2"/>
  <c r="L212" i="2" s="1"/>
  <c r="K221" i="2"/>
  <c r="L221" i="2" s="1"/>
  <c r="K17" i="2"/>
  <c r="L17" i="2" s="1"/>
  <c r="K30" i="2"/>
  <c r="L30" i="2" s="1"/>
  <c r="K84" i="2"/>
  <c r="L84" i="2" s="1"/>
  <c r="K192" i="2"/>
  <c r="L192" i="2" s="1"/>
  <c r="K55" i="2"/>
  <c r="L55" i="2" s="1"/>
  <c r="K29" i="2"/>
  <c r="L29" i="2" s="1"/>
  <c r="K128" i="2"/>
  <c r="L128" i="2" s="1"/>
  <c r="L396" i="2" l="1"/>
  <c r="M6" i="2"/>
  <c r="M10" i="2"/>
  <c r="N10" i="2" s="1"/>
  <c r="F9" i="3" s="1"/>
  <c r="M14" i="2"/>
  <c r="N14" i="2" s="1"/>
  <c r="F13" i="3" s="1"/>
  <c r="M18" i="2"/>
  <c r="M22" i="2"/>
  <c r="M26" i="2"/>
  <c r="M30" i="2"/>
  <c r="N30" i="2" s="1"/>
  <c r="F29" i="3" s="1"/>
  <c r="M34" i="2"/>
  <c r="M38" i="2"/>
  <c r="M42" i="2"/>
  <c r="N42" i="2" s="1"/>
  <c r="F41" i="3" s="1"/>
  <c r="M46" i="2"/>
  <c r="N46" i="2" s="1"/>
  <c r="F45" i="3" s="1"/>
  <c r="M50" i="2"/>
  <c r="M54" i="2"/>
  <c r="M58" i="2"/>
  <c r="N58" i="2" s="1"/>
  <c r="F57" i="3" s="1"/>
  <c r="M62" i="2"/>
  <c r="N62" i="2" s="1"/>
  <c r="F61" i="3" s="1"/>
  <c r="M66" i="2"/>
  <c r="N66" i="2" s="1"/>
  <c r="F65" i="3" s="1"/>
  <c r="M70" i="2"/>
  <c r="M74" i="2"/>
  <c r="N74" i="2" s="1"/>
  <c r="F73" i="3" s="1"/>
  <c r="M78" i="2"/>
  <c r="N78" i="2" s="1"/>
  <c r="F77" i="3" s="1"/>
  <c r="M82" i="2"/>
  <c r="N82" i="2" s="1"/>
  <c r="F81" i="3" s="1"/>
  <c r="M86" i="2"/>
  <c r="M90" i="2"/>
  <c r="N90" i="2" s="1"/>
  <c r="F89" i="3" s="1"/>
  <c r="M94" i="2"/>
  <c r="N94" i="2" s="1"/>
  <c r="F93" i="3" s="1"/>
  <c r="M98" i="2"/>
  <c r="M102" i="2"/>
  <c r="M106" i="2"/>
  <c r="N106" i="2" s="1"/>
  <c r="O106" i="2" s="1"/>
  <c r="P106" i="2" s="1"/>
  <c r="M110" i="2"/>
  <c r="N110" i="2" s="1"/>
  <c r="O110" i="2" s="1"/>
  <c r="P110" i="2" s="1"/>
  <c r="M114" i="2"/>
  <c r="M118" i="2"/>
  <c r="M122" i="2"/>
  <c r="N122" i="2" s="1"/>
  <c r="O122" i="2" s="1"/>
  <c r="P122" i="2" s="1"/>
  <c r="M126" i="2"/>
  <c r="N126" i="2" s="1"/>
  <c r="O126" i="2" s="1"/>
  <c r="P126" i="2" s="1"/>
  <c r="M130" i="2"/>
  <c r="N130" i="2" s="1"/>
  <c r="O130" i="2" s="1"/>
  <c r="P130" i="2" s="1"/>
  <c r="M134" i="2"/>
  <c r="M138" i="2"/>
  <c r="N138" i="2" s="1"/>
  <c r="O138" i="2" s="1"/>
  <c r="P138" i="2" s="1"/>
  <c r="M142" i="2"/>
  <c r="N142" i="2" s="1"/>
  <c r="O142" i="2" s="1"/>
  <c r="P142" i="2" s="1"/>
  <c r="M146" i="2"/>
  <c r="N146" i="2" s="1"/>
  <c r="O146" i="2" s="1"/>
  <c r="P146" i="2" s="1"/>
  <c r="M150" i="2"/>
  <c r="M154" i="2"/>
  <c r="N154" i="2" s="1"/>
  <c r="O154" i="2" s="1"/>
  <c r="P154" i="2" s="1"/>
  <c r="M158" i="2"/>
  <c r="N158" i="2" s="1"/>
  <c r="O158" i="2" s="1"/>
  <c r="P158" i="2" s="1"/>
  <c r="M162" i="2"/>
  <c r="M166" i="2"/>
  <c r="M170" i="2"/>
  <c r="N170" i="2" s="1"/>
  <c r="O170" i="2" s="1"/>
  <c r="P170" i="2" s="1"/>
  <c r="M174" i="2"/>
  <c r="N174" i="2" s="1"/>
  <c r="O174" i="2" s="1"/>
  <c r="P174" i="2" s="1"/>
  <c r="M178" i="2"/>
  <c r="M182" i="2"/>
  <c r="M186" i="2"/>
  <c r="N186" i="2" s="1"/>
  <c r="O186" i="2" s="1"/>
  <c r="P186" i="2" s="1"/>
  <c r="M190" i="2"/>
  <c r="N190" i="2" s="1"/>
  <c r="O190" i="2" s="1"/>
  <c r="P190" i="2" s="1"/>
  <c r="M194" i="2"/>
  <c r="N194" i="2" s="1"/>
  <c r="O194" i="2" s="1"/>
  <c r="P194" i="2" s="1"/>
  <c r="M198" i="2"/>
  <c r="M202" i="2"/>
  <c r="N202" i="2" s="1"/>
  <c r="O202" i="2" s="1"/>
  <c r="P202" i="2" s="1"/>
  <c r="M206" i="2"/>
  <c r="N206" i="2" s="1"/>
  <c r="O206" i="2" s="1"/>
  <c r="P206" i="2" s="1"/>
  <c r="M210" i="2"/>
  <c r="N210" i="2" s="1"/>
  <c r="O210" i="2" s="1"/>
  <c r="P210" i="2" s="1"/>
  <c r="M214" i="2"/>
  <c r="M218" i="2"/>
  <c r="N218" i="2" s="1"/>
  <c r="O218" i="2" s="1"/>
  <c r="P218" i="2" s="1"/>
  <c r="M222" i="2"/>
  <c r="N222" i="2" s="1"/>
  <c r="O222" i="2" s="1"/>
  <c r="P222" i="2" s="1"/>
  <c r="M226" i="2"/>
  <c r="M9" i="2"/>
  <c r="M29" i="2"/>
  <c r="N29" i="2" s="1"/>
  <c r="F28" i="3" s="1"/>
  <c r="M37" i="2"/>
  <c r="N37" i="2" s="1"/>
  <c r="F36" i="3" s="1"/>
  <c r="M49" i="2"/>
  <c r="M61" i="2"/>
  <c r="M73" i="2"/>
  <c r="N73" i="2" s="1"/>
  <c r="F72" i="3" s="1"/>
  <c r="M85" i="2"/>
  <c r="N85" i="2" s="1"/>
  <c r="F84" i="3" s="1"/>
  <c r="M97" i="2"/>
  <c r="M109" i="2"/>
  <c r="M125" i="2"/>
  <c r="N125" i="2" s="1"/>
  <c r="O125" i="2" s="1"/>
  <c r="P125" i="2" s="1"/>
  <c r="M137" i="2"/>
  <c r="N137" i="2" s="1"/>
  <c r="O137" i="2" s="1"/>
  <c r="P137" i="2" s="1"/>
  <c r="M149" i="2"/>
  <c r="N149" i="2" s="1"/>
  <c r="O149" i="2" s="1"/>
  <c r="P149" i="2" s="1"/>
  <c r="M153" i="2"/>
  <c r="M161" i="2"/>
  <c r="N161" i="2" s="1"/>
  <c r="O161" i="2" s="1"/>
  <c r="P161" i="2" s="1"/>
  <c r="M169" i="2"/>
  <c r="N169" i="2" s="1"/>
  <c r="O169" i="2" s="1"/>
  <c r="P169" i="2" s="1"/>
  <c r="M177" i="2"/>
  <c r="N177" i="2" s="1"/>
  <c r="O177" i="2" s="1"/>
  <c r="P177" i="2" s="1"/>
  <c r="M185" i="2"/>
  <c r="M193" i="2"/>
  <c r="N193" i="2" s="1"/>
  <c r="O193" i="2" s="1"/>
  <c r="P193" i="2" s="1"/>
  <c r="M197" i="2"/>
  <c r="N197" i="2" s="1"/>
  <c r="O197" i="2" s="1"/>
  <c r="P197" i="2" s="1"/>
  <c r="M205" i="2"/>
  <c r="M213" i="2"/>
  <c r="M221" i="2"/>
  <c r="N221" i="2" s="1"/>
  <c r="O221" i="2" s="1"/>
  <c r="P221" i="2" s="1"/>
  <c r="M3" i="2"/>
  <c r="N3" i="2" s="1"/>
  <c r="F2" i="3" s="1"/>
  <c r="M7" i="2"/>
  <c r="N7" i="2" s="1"/>
  <c r="F6" i="3" s="1"/>
  <c r="M11" i="2"/>
  <c r="M15" i="2"/>
  <c r="N15" i="2" s="1"/>
  <c r="F14" i="3" s="1"/>
  <c r="M19" i="2"/>
  <c r="N19" i="2" s="1"/>
  <c r="F18" i="3" s="1"/>
  <c r="M23" i="2"/>
  <c r="N23" i="2" s="1"/>
  <c r="F22" i="3" s="1"/>
  <c r="M27" i="2"/>
  <c r="M31" i="2"/>
  <c r="N31" i="2" s="1"/>
  <c r="F30" i="3" s="1"/>
  <c r="M35" i="2"/>
  <c r="N35" i="2" s="1"/>
  <c r="F34" i="3" s="1"/>
  <c r="M39" i="2"/>
  <c r="N39" i="2" s="1"/>
  <c r="F38" i="3" s="1"/>
  <c r="M43" i="2"/>
  <c r="M47" i="2"/>
  <c r="M51" i="2"/>
  <c r="N51" i="2" s="1"/>
  <c r="F50" i="3" s="1"/>
  <c r="M55" i="2"/>
  <c r="N55" i="2" s="1"/>
  <c r="F54" i="3" s="1"/>
  <c r="M59" i="2"/>
  <c r="M63" i="2"/>
  <c r="N63" i="2" s="1"/>
  <c r="F62" i="3" s="1"/>
  <c r="M67" i="2"/>
  <c r="N67" i="2" s="1"/>
  <c r="F66" i="3" s="1"/>
  <c r="M71" i="2"/>
  <c r="N71" i="2" s="1"/>
  <c r="F70" i="3" s="1"/>
  <c r="M75" i="2"/>
  <c r="M79" i="2"/>
  <c r="N79" i="2" s="1"/>
  <c r="F78" i="3" s="1"/>
  <c r="M83" i="2"/>
  <c r="M87" i="2"/>
  <c r="M91" i="2"/>
  <c r="M95" i="2"/>
  <c r="N95" i="2" s="1"/>
  <c r="F94" i="3" s="1"/>
  <c r="M99" i="2"/>
  <c r="N99" i="2" s="1"/>
  <c r="O99" i="2" s="1"/>
  <c r="P99" i="2" s="1"/>
  <c r="M103" i="2"/>
  <c r="M107" i="2"/>
  <c r="M111" i="2"/>
  <c r="N111" i="2" s="1"/>
  <c r="O111" i="2" s="1"/>
  <c r="P111" i="2" s="1"/>
  <c r="M115" i="2"/>
  <c r="N115" i="2" s="1"/>
  <c r="O115" i="2" s="1"/>
  <c r="P115" i="2" s="1"/>
  <c r="M119" i="2"/>
  <c r="N119" i="2" s="1"/>
  <c r="O119" i="2" s="1"/>
  <c r="P119" i="2" s="1"/>
  <c r="M123" i="2"/>
  <c r="M127" i="2"/>
  <c r="N127" i="2" s="1"/>
  <c r="O127" i="2" s="1"/>
  <c r="P127" i="2" s="1"/>
  <c r="M131" i="2"/>
  <c r="N131" i="2" s="1"/>
  <c r="O131" i="2" s="1"/>
  <c r="P131" i="2" s="1"/>
  <c r="M135" i="2"/>
  <c r="N135" i="2" s="1"/>
  <c r="O135" i="2" s="1"/>
  <c r="P135" i="2" s="1"/>
  <c r="M139" i="2"/>
  <c r="M143" i="2"/>
  <c r="N143" i="2" s="1"/>
  <c r="O143" i="2" s="1"/>
  <c r="P143" i="2" s="1"/>
  <c r="M147" i="2"/>
  <c r="N147" i="2" s="1"/>
  <c r="O147" i="2" s="1"/>
  <c r="P147" i="2" s="1"/>
  <c r="M151" i="2"/>
  <c r="M155" i="2"/>
  <c r="M159" i="2"/>
  <c r="N159" i="2" s="1"/>
  <c r="O159" i="2" s="1"/>
  <c r="P159" i="2" s="1"/>
  <c r="M163" i="2"/>
  <c r="N163" i="2" s="1"/>
  <c r="O163" i="2" s="1"/>
  <c r="P163" i="2" s="1"/>
  <c r="M167" i="2"/>
  <c r="M171" i="2"/>
  <c r="M175" i="2"/>
  <c r="N175" i="2" s="1"/>
  <c r="O175" i="2" s="1"/>
  <c r="P175" i="2" s="1"/>
  <c r="M179" i="2"/>
  <c r="N179" i="2" s="1"/>
  <c r="O179" i="2" s="1"/>
  <c r="P179" i="2" s="1"/>
  <c r="M183" i="2"/>
  <c r="N183" i="2" s="1"/>
  <c r="O183" i="2" s="1"/>
  <c r="P183" i="2" s="1"/>
  <c r="M187" i="2"/>
  <c r="M191" i="2"/>
  <c r="N191" i="2" s="1"/>
  <c r="O191" i="2" s="1"/>
  <c r="P191" i="2" s="1"/>
  <c r="M195" i="2"/>
  <c r="N195" i="2" s="1"/>
  <c r="O195" i="2" s="1"/>
  <c r="P195" i="2" s="1"/>
  <c r="M199" i="2"/>
  <c r="N199" i="2" s="1"/>
  <c r="O199" i="2" s="1"/>
  <c r="P199" i="2" s="1"/>
  <c r="M203" i="2"/>
  <c r="M207" i="2"/>
  <c r="N207" i="2" s="1"/>
  <c r="O207" i="2" s="1"/>
  <c r="P207" i="2" s="1"/>
  <c r="M211" i="2"/>
  <c r="N211" i="2" s="1"/>
  <c r="O211" i="2" s="1"/>
  <c r="P211" i="2" s="1"/>
  <c r="M215" i="2"/>
  <c r="M219" i="2"/>
  <c r="M223" i="2"/>
  <c r="N223" i="2" s="1"/>
  <c r="O223" i="2" s="1"/>
  <c r="P223" i="2" s="1"/>
  <c r="M227" i="2"/>
  <c r="N227" i="2" s="1"/>
  <c r="O227" i="2" s="1"/>
  <c r="P227" i="2" s="1"/>
  <c r="M13" i="2"/>
  <c r="N13" i="2" s="1"/>
  <c r="F12" i="3" s="1"/>
  <c r="M45" i="2"/>
  <c r="M57" i="2"/>
  <c r="N57" i="2" s="1"/>
  <c r="F56" i="3" s="1"/>
  <c r="M69" i="2"/>
  <c r="N69" i="2" s="1"/>
  <c r="F68" i="3" s="1"/>
  <c r="M81" i="2"/>
  <c r="N81" i="2" s="1"/>
  <c r="F80" i="3" s="1"/>
  <c r="M93" i="2"/>
  <c r="M105" i="2"/>
  <c r="N105" i="2" s="1"/>
  <c r="O105" i="2" s="1"/>
  <c r="P105" i="2" s="1"/>
  <c r="M117" i="2"/>
  <c r="N117" i="2" s="1"/>
  <c r="O117" i="2" s="1"/>
  <c r="P117" i="2" s="1"/>
  <c r="M129" i="2"/>
  <c r="N129" i="2" s="1"/>
  <c r="O129" i="2" s="1"/>
  <c r="P129" i="2" s="1"/>
  <c r="M145" i="2"/>
  <c r="M157" i="2"/>
  <c r="N157" i="2" s="1"/>
  <c r="O157" i="2" s="1"/>
  <c r="P157" i="2" s="1"/>
  <c r="M165" i="2"/>
  <c r="N165" i="2" s="1"/>
  <c r="O165" i="2" s="1"/>
  <c r="P165" i="2" s="1"/>
  <c r="M173" i="2"/>
  <c r="N173" i="2" s="1"/>
  <c r="O173" i="2" s="1"/>
  <c r="P173" i="2" s="1"/>
  <c r="M181" i="2"/>
  <c r="M189" i="2"/>
  <c r="N189" i="2" s="1"/>
  <c r="O189" i="2" s="1"/>
  <c r="P189" i="2" s="1"/>
  <c r="M201" i="2"/>
  <c r="N201" i="2" s="1"/>
  <c r="O201" i="2" s="1"/>
  <c r="P201" i="2" s="1"/>
  <c r="M209" i="2"/>
  <c r="M217" i="2"/>
  <c r="M225" i="2"/>
  <c r="N225" i="2" s="1"/>
  <c r="O225" i="2" s="1"/>
  <c r="P225" i="2" s="1"/>
  <c r="M4" i="2"/>
  <c r="N4" i="2" s="1"/>
  <c r="F3" i="3" s="1"/>
  <c r="M8" i="2"/>
  <c r="M12" i="2"/>
  <c r="M16" i="2"/>
  <c r="N16" i="2" s="1"/>
  <c r="F15" i="3" s="1"/>
  <c r="M20" i="2"/>
  <c r="N20" i="2" s="1"/>
  <c r="F19" i="3" s="1"/>
  <c r="M24" i="2"/>
  <c r="N24" i="2" s="1"/>
  <c r="F23" i="3" s="1"/>
  <c r="M28" i="2"/>
  <c r="M32" i="2"/>
  <c r="N32" i="2" s="1"/>
  <c r="F31" i="3" s="1"/>
  <c r="M36" i="2"/>
  <c r="N36" i="2" s="1"/>
  <c r="F35" i="3" s="1"/>
  <c r="M40" i="2"/>
  <c r="M44" i="2"/>
  <c r="M48" i="2"/>
  <c r="N48" i="2" s="1"/>
  <c r="F47" i="3" s="1"/>
  <c r="M52" i="2"/>
  <c r="N52" i="2" s="1"/>
  <c r="F51" i="3" s="1"/>
  <c r="M56" i="2"/>
  <c r="N56" i="2" s="1"/>
  <c r="F55" i="3" s="1"/>
  <c r="M60" i="2"/>
  <c r="M64" i="2"/>
  <c r="N64" i="2" s="1"/>
  <c r="F63" i="3" s="1"/>
  <c r="M68" i="2"/>
  <c r="N68" i="2" s="1"/>
  <c r="F67" i="3" s="1"/>
  <c r="M72" i="2"/>
  <c r="N72" i="2" s="1"/>
  <c r="F71" i="3" s="1"/>
  <c r="M76" i="2"/>
  <c r="M80" i="2"/>
  <c r="N80" i="2" s="1"/>
  <c r="F79" i="3" s="1"/>
  <c r="M84" i="2"/>
  <c r="N84" i="2" s="1"/>
  <c r="F83" i="3" s="1"/>
  <c r="M88" i="2"/>
  <c r="N88" i="2" s="1"/>
  <c r="F87" i="3" s="1"/>
  <c r="M92" i="2"/>
  <c r="M96" i="2"/>
  <c r="N96" i="2" s="1"/>
  <c r="F95" i="3" s="1"/>
  <c r="M100" i="2"/>
  <c r="N100" i="2" s="1"/>
  <c r="O100" i="2" s="1"/>
  <c r="P100" i="2" s="1"/>
  <c r="M104" i="2"/>
  <c r="N104" i="2" s="1"/>
  <c r="O104" i="2" s="1"/>
  <c r="P104" i="2" s="1"/>
  <c r="M108" i="2"/>
  <c r="M112" i="2"/>
  <c r="N112" i="2" s="1"/>
  <c r="O112" i="2" s="1"/>
  <c r="P112" i="2" s="1"/>
  <c r="M116" i="2"/>
  <c r="N116" i="2" s="1"/>
  <c r="O116" i="2" s="1"/>
  <c r="P116" i="2" s="1"/>
  <c r="M120" i="2"/>
  <c r="N120" i="2" s="1"/>
  <c r="O120" i="2" s="1"/>
  <c r="P120" i="2" s="1"/>
  <c r="M124" i="2"/>
  <c r="M128" i="2"/>
  <c r="N128" i="2" s="1"/>
  <c r="O128" i="2" s="1"/>
  <c r="P128" i="2" s="1"/>
  <c r="M132" i="2"/>
  <c r="N132" i="2" s="1"/>
  <c r="O132" i="2" s="1"/>
  <c r="P132" i="2" s="1"/>
  <c r="M136" i="2"/>
  <c r="N136" i="2" s="1"/>
  <c r="O136" i="2" s="1"/>
  <c r="P136" i="2" s="1"/>
  <c r="M140" i="2"/>
  <c r="M144" i="2"/>
  <c r="N144" i="2" s="1"/>
  <c r="O144" i="2" s="1"/>
  <c r="P144" i="2" s="1"/>
  <c r="M148" i="2"/>
  <c r="N148" i="2" s="1"/>
  <c r="O148" i="2" s="1"/>
  <c r="P148" i="2" s="1"/>
  <c r="M152" i="2"/>
  <c r="N152" i="2" s="1"/>
  <c r="O152" i="2" s="1"/>
  <c r="P152" i="2" s="1"/>
  <c r="M156" i="2"/>
  <c r="M160" i="2"/>
  <c r="N160" i="2" s="1"/>
  <c r="O160" i="2" s="1"/>
  <c r="P160" i="2" s="1"/>
  <c r="M164" i="2"/>
  <c r="N164" i="2" s="1"/>
  <c r="O164" i="2" s="1"/>
  <c r="P164" i="2" s="1"/>
  <c r="M168" i="2"/>
  <c r="N168" i="2" s="1"/>
  <c r="O168" i="2" s="1"/>
  <c r="P168" i="2" s="1"/>
  <c r="M172" i="2"/>
  <c r="M176" i="2"/>
  <c r="N176" i="2" s="1"/>
  <c r="O176" i="2" s="1"/>
  <c r="P176" i="2" s="1"/>
  <c r="M180" i="2"/>
  <c r="N180" i="2" s="1"/>
  <c r="O180" i="2" s="1"/>
  <c r="P180" i="2" s="1"/>
  <c r="M184" i="2"/>
  <c r="N184" i="2" s="1"/>
  <c r="O184" i="2" s="1"/>
  <c r="P184" i="2" s="1"/>
  <c r="M188" i="2"/>
  <c r="M192" i="2"/>
  <c r="N192" i="2" s="1"/>
  <c r="O192" i="2" s="1"/>
  <c r="P192" i="2" s="1"/>
  <c r="M196" i="2"/>
  <c r="N196" i="2" s="1"/>
  <c r="O196" i="2" s="1"/>
  <c r="P196" i="2" s="1"/>
  <c r="M200" i="2"/>
  <c r="N200" i="2" s="1"/>
  <c r="O200" i="2" s="1"/>
  <c r="P200" i="2" s="1"/>
  <c r="M204" i="2"/>
  <c r="M208" i="2"/>
  <c r="N208" i="2" s="1"/>
  <c r="O208" i="2" s="1"/>
  <c r="P208" i="2" s="1"/>
  <c r="M212" i="2"/>
  <c r="N212" i="2" s="1"/>
  <c r="O212" i="2" s="1"/>
  <c r="P212" i="2" s="1"/>
  <c r="M216" i="2"/>
  <c r="N216" i="2" s="1"/>
  <c r="O216" i="2" s="1"/>
  <c r="P216" i="2" s="1"/>
  <c r="M220" i="2"/>
  <c r="M224" i="2"/>
  <c r="N224" i="2" s="1"/>
  <c r="O224" i="2" s="1"/>
  <c r="P224" i="2" s="1"/>
  <c r="M228" i="2"/>
  <c r="N228" i="2" s="1"/>
  <c r="O228" i="2" s="1"/>
  <c r="P228" i="2" s="1"/>
  <c r="M5" i="2"/>
  <c r="M17" i="2"/>
  <c r="M21" i="2"/>
  <c r="N21" i="2" s="1"/>
  <c r="F20" i="3" s="1"/>
  <c r="M25" i="2"/>
  <c r="N25" i="2" s="1"/>
  <c r="F24" i="3" s="1"/>
  <c r="M33" i="2"/>
  <c r="N33" i="2" s="1"/>
  <c r="F32" i="3" s="1"/>
  <c r="M41" i="2"/>
  <c r="M53" i="2"/>
  <c r="N53" i="2" s="1"/>
  <c r="F52" i="3" s="1"/>
  <c r="M65" i="2"/>
  <c r="N65" i="2" s="1"/>
  <c r="F64" i="3" s="1"/>
  <c r="M77" i="2"/>
  <c r="N77" i="2" s="1"/>
  <c r="F76" i="3" s="1"/>
  <c r="M89" i="2"/>
  <c r="M101" i="2"/>
  <c r="N101" i="2" s="1"/>
  <c r="O101" i="2" s="1"/>
  <c r="P101" i="2" s="1"/>
  <c r="M113" i="2"/>
  <c r="N113" i="2" s="1"/>
  <c r="O113" i="2" s="1"/>
  <c r="P113" i="2" s="1"/>
  <c r="M121" i="2"/>
  <c r="N121" i="2" s="1"/>
  <c r="O121" i="2" s="1"/>
  <c r="P121" i="2" s="1"/>
  <c r="M133" i="2"/>
  <c r="M141" i="2"/>
  <c r="N141" i="2" s="1"/>
  <c r="O141" i="2" s="1"/>
  <c r="P141" i="2" s="1"/>
  <c r="T5" i="2"/>
  <c r="N5" i="2"/>
  <c r="F4" i="3" s="1"/>
  <c r="N9" i="2"/>
  <c r="F8" i="3" s="1"/>
  <c r="N17" i="2"/>
  <c r="F16" i="3" s="1"/>
  <c r="N6" i="2"/>
  <c r="F5" i="3" s="1"/>
  <c r="N18" i="2"/>
  <c r="F17" i="3" s="1"/>
  <c r="N22" i="2"/>
  <c r="F21" i="3" s="1"/>
  <c r="N26" i="2"/>
  <c r="F25" i="3" s="1"/>
  <c r="N34" i="2"/>
  <c r="F33" i="3" s="1"/>
  <c r="N38" i="2"/>
  <c r="F37" i="3" s="1"/>
  <c r="N50" i="2"/>
  <c r="F49" i="3" s="1"/>
  <c r="N27" i="2"/>
  <c r="F26" i="3" s="1"/>
  <c r="N43" i="2"/>
  <c r="F42" i="3" s="1"/>
  <c r="N61" i="2"/>
  <c r="F60" i="3" s="1"/>
  <c r="N89" i="2"/>
  <c r="F88" i="3" s="1"/>
  <c r="N93" i="2"/>
  <c r="F92" i="3" s="1"/>
  <c r="N97" i="2"/>
  <c r="O97" i="2" s="1"/>
  <c r="P97" i="2" s="1"/>
  <c r="N109" i="2"/>
  <c r="O109" i="2" s="1"/>
  <c r="P109" i="2" s="1"/>
  <c r="N133" i="2"/>
  <c r="O133" i="2" s="1"/>
  <c r="P133" i="2" s="1"/>
  <c r="N145" i="2"/>
  <c r="O145" i="2" s="1"/>
  <c r="P145" i="2" s="1"/>
  <c r="N153" i="2"/>
  <c r="O153" i="2" s="1"/>
  <c r="P153" i="2" s="1"/>
  <c r="N181" i="2"/>
  <c r="O181" i="2" s="1"/>
  <c r="P181" i="2" s="1"/>
  <c r="N185" i="2"/>
  <c r="O185" i="2" s="1"/>
  <c r="P185" i="2" s="1"/>
  <c r="N205" i="2"/>
  <c r="O205" i="2" s="1"/>
  <c r="P205" i="2" s="1"/>
  <c r="N209" i="2"/>
  <c r="O209" i="2" s="1"/>
  <c r="P209" i="2" s="1"/>
  <c r="N213" i="2"/>
  <c r="O213" i="2" s="1"/>
  <c r="P213" i="2" s="1"/>
  <c r="N217" i="2"/>
  <c r="O217" i="2" s="1"/>
  <c r="P217" i="2" s="1"/>
  <c r="N8" i="2"/>
  <c r="F7" i="3" s="1"/>
  <c r="N28" i="2"/>
  <c r="F27" i="3" s="1"/>
  <c r="N44" i="2"/>
  <c r="F43" i="3" s="1"/>
  <c r="N49" i="2"/>
  <c r="F48" i="3" s="1"/>
  <c r="N54" i="2"/>
  <c r="F53" i="3" s="1"/>
  <c r="N70" i="2"/>
  <c r="F69" i="3" s="1"/>
  <c r="N86" i="2"/>
  <c r="F85" i="3" s="1"/>
  <c r="N98" i="2"/>
  <c r="O98" i="2" s="1"/>
  <c r="P98" i="2" s="1"/>
  <c r="N102" i="2"/>
  <c r="O102" i="2" s="1"/>
  <c r="P102" i="2" s="1"/>
  <c r="N114" i="2"/>
  <c r="O114" i="2" s="1"/>
  <c r="P114" i="2" s="1"/>
  <c r="N118" i="2"/>
  <c r="O118" i="2" s="1"/>
  <c r="P118" i="2" s="1"/>
  <c r="N134" i="2"/>
  <c r="O134" i="2" s="1"/>
  <c r="P134" i="2" s="1"/>
  <c r="N150" i="2"/>
  <c r="O150" i="2" s="1"/>
  <c r="P150" i="2" s="1"/>
  <c r="N162" i="2"/>
  <c r="O162" i="2" s="1"/>
  <c r="P162" i="2" s="1"/>
  <c r="N166" i="2"/>
  <c r="O166" i="2" s="1"/>
  <c r="P166" i="2" s="1"/>
  <c r="N178" i="2"/>
  <c r="O178" i="2" s="1"/>
  <c r="P178" i="2" s="1"/>
  <c r="N182" i="2"/>
  <c r="O182" i="2" s="1"/>
  <c r="P182" i="2" s="1"/>
  <c r="N198" i="2"/>
  <c r="O198" i="2" s="1"/>
  <c r="P198" i="2" s="1"/>
  <c r="N214" i="2"/>
  <c r="O214" i="2" s="1"/>
  <c r="P214" i="2" s="1"/>
  <c r="N226" i="2"/>
  <c r="O226" i="2" s="1"/>
  <c r="P226" i="2" s="1"/>
  <c r="N11" i="2"/>
  <c r="F10" i="3" s="1"/>
  <c r="N40" i="2"/>
  <c r="F39" i="3" s="1"/>
  <c r="N45" i="2"/>
  <c r="F44" i="3" s="1"/>
  <c r="N59" i="2"/>
  <c r="F58" i="3" s="1"/>
  <c r="N75" i="2"/>
  <c r="F74" i="3" s="1"/>
  <c r="N87" i="2"/>
  <c r="F86" i="3" s="1"/>
  <c r="N91" i="2"/>
  <c r="F90" i="3" s="1"/>
  <c r="N103" i="2"/>
  <c r="O103" i="2" s="1"/>
  <c r="P103" i="2" s="1"/>
  <c r="N107" i="2"/>
  <c r="O107" i="2" s="1"/>
  <c r="P107" i="2" s="1"/>
  <c r="N123" i="2"/>
  <c r="O123" i="2" s="1"/>
  <c r="P123" i="2" s="1"/>
  <c r="N139" i="2"/>
  <c r="O139" i="2" s="1"/>
  <c r="P139" i="2" s="1"/>
  <c r="N151" i="2"/>
  <c r="O151" i="2" s="1"/>
  <c r="P151" i="2" s="1"/>
  <c r="N155" i="2"/>
  <c r="O155" i="2" s="1"/>
  <c r="P155" i="2" s="1"/>
  <c r="N167" i="2"/>
  <c r="O167" i="2" s="1"/>
  <c r="P167" i="2" s="1"/>
  <c r="N171" i="2"/>
  <c r="O171" i="2" s="1"/>
  <c r="P171" i="2" s="1"/>
  <c r="N187" i="2"/>
  <c r="O187" i="2" s="1"/>
  <c r="P187" i="2" s="1"/>
  <c r="N203" i="2"/>
  <c r="O203" i="2" s="1"/>
  <c r="P203" i="2" s="1"/>
  <c r="N215" i="2"/>
  <c r="O215" i="2" s="1"/>
  <c r="P215" i="2" s="1"/>
  <c r="N219" i="2"/>
  <c r="O219" i="2" s="1"/>
  <c r="P219" i="2" s="1"/>
  <c r="N12" i="2"/>
  <c r="F11" i="3" s="1"/>
  <c r="N47" i="2"/>
  <c r="F46" i="3" s="1"/>
  <c r="N41" i="2"/>
  <c r="F40" i="3" s="1"/>
  <c r="N60" i="2"/>
  <c r="F59" i="3" s="1"/>
  <c r="N76" i="2"/>
  <c r="F75" i="3" s="1"/>
  <c r="N92" i="2"/>
  <c r="F91" i="3" s="1"/>
  <c r="N108" i="2"/>
  <c r="O108" i="2" s="1"/>
  <c r="P108" i="2" s="1"/>
  <c r="N124" i="2"/>
  <c r="O124" i="2" s="1"/>
  <c r="P124" i="2" s="1"/>
  <c r="N140" i="2"/>
  <c r="O140" i="2" s="1"/>
  <c r="P140" i="2" s="1"/>
  <c r="N156" i="2"/>
  <c r="O156" i="2" s="1"/>
  <c r="P156" i="2" s="1"/>
  <c r="N172" i="2"/>
  <c r="O172" i="2" s="1"/>
  <c r="P172" i="2" s="1"/>
  <c r="N188" i="2"/>
  <c r="O188" i="2" s="1"/>
  <c r="P188" i="2" s="1"/>
  <c r="N204" i="2"/>
  <c r="O204" i="2" s="1"/>
  <c r="P204" i="2" s="1"/>
  <c r="N220" i="2"/>
  <c r="O220" i="2" s="1"/>
  <c r="P220" i="2" s="1"/>
  <c r="D21" i="3" l="1"/>
  <c r="G4" i="6" s="1"/>
  <c r="G3" i="6" s="1"/>
  <c r="O92" i="2"/>
  <c r="P92" i="2" s="1"/>
  <c r="O75" i="2"/>
  <c r="P75" i="2" s="1"/>
  <c r="F20" i="6"/>
  <c r="O25" i="2"/>
  <c r="P25" i="2" s="1"/>
  <c r="O91" i="2"/>
  <c r="P91" i="2" s="1"/>
  <c r="O40" i="2"/>
  <c r="P40" i="2" s="1"/>
  <c r="O74" i="2"/>
  <c r="P74" i="2" s="1"/>
  <c r="F19" i="6"/>
  <c r="F17" i="6"/>
  <c r="F7" i="6"/>
  <c r="O76" i="2"/>
  <c r="P76" i="2" s="1"/>
  <c r="O47" i="2"/>
  <c r="P47" i="2" s="1"/>
  <c r="O36" i="2"/>
  <c r="P36" i="2" s="1"/>
  <c r="O31" i="2"/>
  <c r="P31" i="2" s="1"/>
  <c r="O87" i="2"/>
  <c r="P87" i="2" s="1"/>
  <c r="O71" i="2"/>
  <c r="P71" i="2" s="1"/>
  <c r="O55" i="2"/>
  <c r="P55" i="2" s="1"/>
  <c r="O35" i="2"/>
  <c r="P35" i="2" s="1"/>
  <c r="F15" i="6"/>
  <c r="O86" i="2"/>
  <c r="P86" i="2" s="1"/>
  <c r="O70" i="2"/>
  <c r="P70" i="2" s="1"/>
  <c r="O54" i="2"/>
  <c r="P54" i="2" s="1"/>
  <c r="O33" i="2"/>
  <c r="P33" i="2" s="1"/>
  <c r="F12" i="6"/>
  <c r="O85" i="2"/>
  <c r="P85" i="2" s="1"/>
  <c r="O69" i="2"/>
  <c r="P69" i="2" s="1"/>
  <c r="O53" i="2"/>
  <c r="P53" i="2" s="1"/>
  <c r="O32" i="2"/>
  <c r="P32" i="2" s="1"/>
  <c r="F8" i="6"/>
  <c r="O42" i="2"/>
  <c r="P42" i="2" s="1"/>
  <c r="O26" i="2"/>
  <c r="P26" i="2" s="1"/>
  <c r="F14" i="6"/>
  <c r="F13" i="6"/>
  <c r="O64" i="2"/>
  <c r="P64" i="2" s="1"/>
  <c r="O52" i="2"/>
  <c r="P52" i="2" s="1"/>
  <c r="O19" i="2"/>
  <c r="P19" i="2" s="1"/>
  <c r="O58" i="2"/>
  <c r="P58" i="2" s="1"/>
  <c r="O89" i="2"/>
  <c r="P89" i="2" s="1"/>
  <c r="O57" i="2"/>
  <c r="P57" i="2" s="1"/>
  <c r="O46" i="2"/>
  <c r="P46" i="2" s="1"/>
  <c r="O30" i="2"/>
  <c r="P30" i="2" s="1"/>
  <c r="O88" i="2"/>
  <c r="P88" i="2" s="1"/>
  <c r="F16" i="6"/>
  <c r="O96" i="2"/>
  <c r="P96" i="2" s="1"/>
  <c r="O84" i="2"/>
  <c r="P84" i="2" s="1"/>
  <c r="O83" i="2"/>
  <c r="P83" i="2" s="1"/>
  <c r="O67" i="2"/>
  <c r="P67" i="2" s="1"/>
  <c r="O51" i="2"/>
  <c r="P51" i="2" s="1"/>
  <c r="O29" i="2"/>
  <c r="P29" i="2" s="1"/>
  <c r="O82" i="2"/>
  <c r="P82" i="2" s="1"/>
  <c r="O66" i="2"/>
  <c r="P66" i="2" s="1"/>
  <c r="O49" i="2"/>
  <c r="P49" i="2" s="1"/>
  <c r="O28" i="2"/>
  <c r="P28" i="2" s="1"/>
  <c r="O81" i="2"/>
  <c r="P81" i="2" s="1"/>
  <c r="O65" i="2"/>
  <c r="P65" i="2" s="1"/>
  <c r="O48" i="2"/>
  <c r="P48" i="2" s="1"/>
  <c r="O27" i="2"/>
  <c r="P27" i="2" s="1"/>
  <c r="F11" i="6"/>
  <c r="O38" i="2"/>
  <c r="P38" i="2" s="1"/>
  <c r="O22" i="2"/>
  <c r="P22" i="2" s="1"/>
  <c r="F10" i="6"/>
  <c r="F9" i="6"/>
  <c r="O20" i="2"/>
  <c r="P20" i="2" s="1"/>
  <c r="O56" i="2"/>
  <c r="P56" i="2" s="1"/>
  <c r="O59" i="2"/>
  <c r="P59" i="2" s="1"/>
  <c r="O90" i="2"/>
  <c r="P90" i="2" s="1"/>
  <c r="O39" i="2"/>
  <c r="P39" i="2" s="1"/>
  <c r="O73" i="2"/>
  <c r="P73" i="2" s="1"/>
  <c r="O37" i="2"/>
  <c r="P37" i="2" s="1"/>
  <c r="F18" i="6"/>
  <c r="O60" i="2"/>
  <c r="P60" i="2" s="1"/>
  <c r="O41" i="2"/>
  <c r="P41" i="2" s="1"/>
  <c r="O72" i="2"/>
  <c r="P72" i="2" s="1"/>
  <c r="O80" i="2"/>
  <c r="P80" i="2" s="1"/>
  <c r="O68" i="2"/>
  <c r="P68" i="2" s="1"/>
  <c r="O95" i="2"/>
  <c r="P95" i="2" s="1"/>
  <c r="O79" i="2"/>
  <c r="P79" i="2" s="1"/>
  <c r="O63" i="2"/>
  <c r="P63" i="2" s="1"/>
  <c r="O45" i="2"/>
  <c r="P45" i="2" s="1"/>
  <c r="O24" i="2"/>
  <c r="P24" i="2" s="1"/>
  <c r="O94" i="2"/>
  <c r="P94" i="2" s="1"/>
  <c r="O78" i="2"/>
  <c r="P78" i="2" s="1"/>
  <c r="O62" i="2"/>
  <c r="P62" i="2" s="1"/>
  <c r="O44" i="2"/>
  <c r="P44" i="2" s="1"/>
  <c r="O23" i="2"/>
  <c r="P23" i="2" s="1"/>
  <c r="O93" i="2"/>
  <c r="P93" i="2" s="1"/>
  <c r="O77" i="2"/>
  <c r="P77" i="2" s="1"/>
  <c r="O61" i="2"/>
  <c r="P61" i="2" s="1"/>
  <c r="O43" i="2"/>
  <c r="P43" i="2" s="1"/>
  <c r="O21" i="2"/>
  <c r="P21" i="2" s="1"/>
  <c r="O50" i="2"/>
  <c r="P50" i="2" s="1"/>
  <c r="O34" i="2"/>
  <c r="P34" i="2" s="1"/>
  <c r="O18" i="2"/>
  <c r="P18" i="2" s="1"/>
  <c r="O17" i="2"/>
  <c r="P17" i="2" s="1"/>
  <c r="AA7" i="2"/>
  <c r="AA8" i="2"/>
  <c r="O13" i="2"/>
  <c r="G17" i="6" s="1"/>
  <c r="H17" i="6" s="1"/>
  <c r="O11" i="2"/>
  <c r="O8" i="2"/>
  <c r="G12" i="6" s="1"/>
  <c r="H12" i="6" s="1"/>
  <c r="O4" i="2"/>
  <c r="O10" i="2"/>
  <c r="G14" i="6" s="1"/>
  <c r="H14" i="6" s="1"/>
  <c r="O9" i="2"/>
  <c r="O16" i="2"/>
  <c r="G20" i="6" s="1"/>
  <c r="H20" i="6" s="1"/>
  <c r="O15" i="2"/>
  <c r="G19" i="6" s="1"/>
  <c r="H19" i="6" s="1"/>
  <c r="O14" i="2"/>
  <c r="G18" i="6" s="1"/>
  <c r="H18" i="6" s="1"/>
  <c r="O3" i="2"/>
  <c r="O12" i="2"/>
  <c r="G16" i="6" s="1"/>
  <c r="H16" i="6" s="1"/>
  <c r="O7" i="2"/>
  <c r="O6" i="2"/>
  <c r="G10" i="6" s="1"/>
  <c r="H10" i="6" s="1"/>
  <c r="O5" i="2"/>
  <c r="T6" i="2"/>
  <c r="G7" i="6" l="1"/>
  <c r="H7" i="6" s="1"/>
  <c r="G13" i="6"/>
  <c r="H13" i="6" s="1"/>
  <c r="G15" i="6"/>
  <c r="H15" i="6" s="1"/>
  <c r="G11" i="6"/>
  <c r="H11" i="6" s="1"/>
  <c r="G8" i="6"/>
  <c r="H8" i="6" s="1"/>
  <c r="G9" i="6"/>
  <c r="H9" i="6" s="1"/>
  <c r="AA9" i="2"/>
  <c r="P5" i="2"/>
  <c r="P7" i="2"/>
  <c r="P15" i="2"/>
  <c r="P4" i="2"/>
  <c r="P11" i="2"/>
  <c r="P3" i="2"/>
  <c r="P9" i="2"/>
  <c r="P6" i="2"/>
  <c r="P12" i="2"/>
  <c r="P14" i="2"/>
  <c r="P16" i="2"/>
  <c r="P10" i="2"/>
  <c r="P8" i="2"/>
  <c r="P13" i="2"/>
  <c r="T7" i="2"/>
  <c r="AA10" i="2" l="1"/>
  <c r="T8" i="2"/>
  <c r="AA11" i="2" l="1"/>
  <c r="T9" i="2"/>
  <c r="AA12" i="2" l="1"/>
  <c r="T10" i="2"/>
  <c r="AA13" i="2" l="1"/>
  <c r="T11" i="2"/>
  <c r="AA14" i="2" l="1"/>
  <c r="T12" i="2"/>
  <c r="AA15" i="2" l="1"/>
  <c r="T13" i="2"/>
  <c r="AA16" i="2" l="1"/>
  <c r="T14" i="2"/>
  <c r="AA17" i="2" l="1"/>
  <c r="T15" i="2"/>
  <c r="AA18" i="2" l="1"/>
  <c r="T16" i="2"/>
  <c r="AA19" i="2" l="1"/>
  <c r="T17" i="2"/>
  <c r="AA20" i="2" l="1"/>
  <c r="T18" i="2"/>
  <c r="AA21" i="2" l="1"/>
  <c r="T19" i="2"/>
  <c r="AA22" i="2" l="1"/>
  <c r="T20" i="2"/>
  <c r="AA23" i="2" l="1"/>
  <c r="T21" i="2"/>
  <c r="AA24" i="2" l="1"/>
  <c r="T22" i="2"/>
  <c r="AA25" i="2" l="1"/>
  <c r="T23" i="2"/>
  <c r="AA26" i="2" l="1"/>
  <c r="T24" i="2"/>
  <c r="AA27" i="2" l="1"/>
  <c r="T25" i="2"/>
  <c r="AA28" i="2" l="1"/>
  <c r="T26" i="2"/>
  <c r="AA29" i="2" l="1"/>
  <c r="T27" i="2"/>
  <c r="AA30" i="2" l="1"/>
  <c r="T28" i="2"/>
  <c r="AA31" i="2" l="1"/>
  <c r="T29" i="2"/>
  <c r="AA32" i="2" l="1"/>
  <c r="T30" i="2"/>
  <c r="AA33" i="2" l="1"/>
  <c r="T31" i="2"/>
  <c r="AA34" i="2" l="1"/>
  <c r="T32" i="2"/>
  <c r="AA35" i="2" l="1"/>
  <c r="T33" i="2"/>
  <c r="AA36" i="2" l="1"/>
  <c r="T34" i="2"/>
  <c r="AA37" i="2" l="1"/>
  <c r="T35" i="2"/>
  <c r="AA38" i="2" l="1"/>
  <c r="T36" i="2"/>
  <c r="AA39" i="2" l="1"/>
  <c r="T37" i="2"/>
  <c r="AA40" i="2" l="1"/>
  <c r="T38" i="2"/>
  <c r="AA41" i="2" l="1"/>
  <c r="T39" i="2"/>
  <c r="AA42" i="2" l="1"/>
  <c r="T40" i="2"/>
  <c r="AA43" i="2" l="1"/>
  <c r="T41" i="2"/>
  <c r="AA44" i="2" l="1"/>
  <c r="T42" i="2"/>
  <c r="AA45" i="2" l="1"/>
  <c r="T43" i="2"/>
  <c r="AA46" i="2" l="1"/>
  <c r="T44" i="2"/>
  <c r="AA47" i="2" l="1"/>
  <c r="T45" i="2"/>
  <c r="AA48" i="2" l="1"/>
  <c r="T46" i="2"/>
  <c r="AA49" i="2" l="1"/>
  <c r="T47" i="2"/>
  <c r="AA50" i="2" l="1"/>
  <c r="T48" i="2"/>
  <c r="AA51" i="2" l="1"/>
  <c r="T49" i="2"/>
  <c r="AA52" i="2" l="1"/>
  <c r="T50" i="2"/>
  <c r="AA53" i="2" l="1"/>
  <c r="T51" i="2"/>
  <c r="AA54" i="2" l="1"/>
  <c r="T52" i="2"/>
  <c r="AA55" i="2" l="1"/>
  <c r="T53" i="2"/>
  <c r="AA56" i="2" l="1"/>
  <c r="T54" i="2"/>
  <c r="AA57" i="2" l="1"/>
  <c r="T55" i="2"/>
  <c r="AA58" i="2" l="1"/>
  <c r="T56" i="2"/>
  <c r="AA59" i="2" l="1"/>
  <c r="T57" i="2"/>
  <c r="AA60" i="2" l="1"/>
  <c r="T58" i="2"/>
  <c r="AA61" i="2" l="1"/>
  <c r="T59" i="2"/>
  <c r="AA62" i="2" l="1"/>
  <c r="T60" i="2"/>
  <c r="AA63" i="2" l="1"/>
  <c r="T61" i="2"/>
  <c r="AA64" i="2" l="1"/>
  <c r="T62" i="2"/>
  <c r="AA65" i="2" l="1"/>
  <c r="T63" i="2"/>
  <c r="AA66" i="2" l="1"/>
  <c r="T64" i="2"/>
  <c r="AA67" i="2" l="1"/>
  <c r="T65" i="2"/>
  <c r="AA68" i="2" l="1"/>
  <c r="T66" i="2"/>
  <c r="AA69" i="2" l="1"/>
  <c r="T67" i="2"/>
  <c r="AA70" i="2" l="1"/>
  <c r="T68" i="2"/>
  <c r="AA71" i="2" l="1"/>
  <c r="T69" i="2"/>
  <c r="AA72" i="2" l="1"/>
  <c r="T70" i="2"/>
  <c r="AA73" i="2" l="1"/>
  <c r="T71" i="2"/>
  <c r="AA74" i="2" l="1"/>
  <c r="T72" i="2"/>
  <c r="AA75" i="2" l="1"/>
  <c r="T73" i="2"/>
  <c r="AA76" i="2" l="1"/>
  <c r="T74" i="2"/>
  <c r="AA77" i="2" l="1"/>
  <c r="T75" i="2"/>
  <c r="AA78" i="2" l="1"/>
  <c r="T76" i="2"/>
  <c r="AA79" i="2" l="1"/>
  <c r="T77" i="2"/>
  <c r="AA80" i="2" l="1"/>
  <c r="T78" i="2"/>
  <c r="AA81" i="2" l="1"/>
  <c r="T79" i="2"/>
  <c r="AA82" i="2" l="1"/>
  <c r="T80" i="2"/>
  <c r="AA83" i="2" l="1"/>
  <c r="T81" i="2"/>
  <c r="AA84" i="2" l="1"/>
  <c r="T82" i="2"/>
  <c r="AA85" i="2" l="1"/>
  <c r="T83" i="2"/>
  <c r="AA86" i="2" l="1"/>
  <c r="T84" i="2"/>
  <c r="AA87" i="2" l="1"/>
  <c r="T85" i="2"/>
  <c r="AA88" i="2" l="1"/>
  <c r="T86" i="2"/>
  <c r="AA89" i="2" l="1"/>
  <c r="T87" i="2"/>
  <c r="AA90" i="2" l="1"/>
  <c r="T88" i="2"/>
  <c r="AA91" i="2" l="1"/>
  <c r="T89" i="2"/>
  <c r="AA92" i="2" l="1"/>
  <c r="T90" i="2"/>
  <c r="AA93" i="2" l="1"/>
  <c r="T91" i="2"/>
  <c r="AA94" i="2" l="1"/>
  <c r="T92" i="2"/>
  <c r="AA95" i="2" l="1"/>
  <c r="T93" i="2"/>
  <c r="AA96" i="2" l="1"/>
  <c r="T94" i="2"/>
  <c r="AA97" i="2" l="1"/>
  <c r="T95" i="2"/>
  <c r="AA98" i="2" l="1"/>
  <c r="T96" i="2"/>
  <c r="AA99" i="2" l="1"/>
  <c r="T97" i="2"/>
  <c r="AA100" i="2" l="1"/>
  <c r="T98" i="2"/>
  <c r="AA101" i="2" l="1"/>
  <c r="T99" i="2"/>
  <c r="AA102" i="2" l="1"/>
  <c r="T100" i="2"/>
  <c r="AA103" i="2" l="1"/>
  <c r="T101" i="2"/>
  <c r="AA104" i="2" l="1"/>
  <c r="T102" i="2"/>
  <c r="AA105" i="2" l="1"/>
  <c r="T103" i="2"/>
  <c r="AA106" i="2" l="1"/>
  <c r="T104" i="2"/>
  <c r="AA107" i="2" l="1"/>
  <c r="T105" i="2"/>
  <c r="AA108" i="2" l="1"/>
  <c r="T106" i="2"/>
  <c r="AA109" i="2" l="1"/>
  <c r="T107" i="2"/>
  <c r="AA110" i="2" l="1"/>
  <c r="T108" i="2"/>
  <c r="AA111" i="2" l="1"/>
  <c r="T109" i="2"/>
  <c r="AA112" i="2" l="1"/>
  <c r="T110" i="2"/>
  <c r="AA113" i="2" l="1"/>
  <c r="T111" i="2"/>
  <c r="AA114" i="2" l="1"/>
  <c r="T112" i="2"/>
  <c r="AA115" i="2" l="1"/>
  <c r="T113" i="2"/>
  <c r="AA116" i="2" l="1"/>
  <c r="T114" i="2"/>
  <c r="AA117" i="2" l="1"/>
  <c r="T115" i="2"/>
  <c r="AA118" i="2" l="1"/>
  <c r="T116" i="2"/>
  <c r="AA119" i="2" l="1"/>
  <c r="T117" i="2"/>
  <c r="AA120" i="2" l="1"/>
  <c r="T118" i="2"/>
  <c r="AA121" i="2" l="1"/>
  <c r="T119" i="2"/>
  <c r="AA122" i="2" l="1"/>
  <c r="T120" i="2"/>
  <c r="AA123" i="2" l="1"/>
  <c r="T121" i="2"/>
  <c r="AA124" i="2" l="1"/>
  <c r="T122" i="2"/>
  <c r="AA125" i="2" l="1"/>
  <c r="T123" i="2"/>
  <c r="AA126" i="2" l="1"/>
  <c r="T124" i="2"/>
  <c r="AA127" i="2" l="1"/>
  <c r="T125" i="2"/>
  <c r="AA128" i="2" l="1"/>
  <c r="T126" i="2"/>
  <c r="AA129" i="2" l="1"/>
  <c r="T127" i="2"/>
  <c r="AA130" i="2" l="1"/>
  <c r="T128" i="2"/>
  <c r="AA131" i="2" l="1"/>
  <c r="T129" i="2"/>
  <c r="AA132" i="2" l="1"/>
  <c r="T130" i="2"/>
  <c r="AA133" i="2" l="1"/>
  <c r="T131" i="2"/>
  <c r="AA134" i="2" l="1"/>
  <c r="T132" i="2"/>
  <c r="AA135" i="2" l="1"/>
  <c r="T133" i="2"/>
  <c r="AA136" i="2" l="1"/>
  <c r="T134" i="2"/>
  <c r="AA137" i="2" l="1"/>
  <c r="T135" i="2"/>
  <c r="AA138" i="2" l="1"/>
  <c r="T136" i="2"/>
  <c r="AA139" i="2" l="1"/>
  <c r="T137" i="2"/>
  <c r="AA140" i="2" l="1"/>
  <c r="T138" i="2"/>
  <c r="AA141" i="2" l="1"/>
  <c r="T139" i="2"/>
  <c r="AA142" i="2" l="1"/>
  <c r="T140" i="2"/>
  <c r="AA143" i="2" l="1"/>
  <c r="T141" i="2"/>
  <c r="AA144" i="2" l="1"/>
  <c r="T142" i="2"/>
  <c r="AA145" i="2" l="1"/>
  <c r="T143" i="2"/>
  <c r="AA146" i="2" l="1"/>
  <c r="T144" i="2"/>
  <c r="AA147" i="2" l="1"/>
  <c r="T145" i="2"/>
  <c r="AA148" i="2" l="1"/>
  <c r="T146" i="2"/>
  <c r="AA149" i="2" l="1"/>
  <c r="T147" i="2"/>
  <c r="AA150" i="2" l="1"/>
  <c r="T148" i="2"/>
  <c r="AA151" i="2" l="1"/>
  <c r="T149" i="2"/>
  <c r="AA152" i="2" l="1"/>
  <c r="T150" i="2"/>
  <c r="AA153" i="2" l="1"/>
  <c r="T151" i="2"/>
  <c r="AA154" i="2" l="1"/>
  <c r="T152" i="2"/>
  <c r="AA155" i="2" l="1"/>
  <c r="T153" i="2"/>
  <c r="AA156" i="2" l="1"/>
  <c r="T154" i="2"/>
  <c r="AA157" i="2" l="1"/>
  <c r="T155" i="2"/>
  <c r="AA158" i="2" l="1"/>
  <c r="T156" i="2"/>
  <c r="AA159" i="2" l="1"/>
  <c r="T157" i="2"/>
  <c r="AA160" i="2" l="1"/>
  <c r="T158" i="2"/>
  <c r="AA161" i="2" l="1"/>
  <c r="T159" i="2"/>
  <c r="AA162" i="2" l="1"/>
  <c r="T160" i="2"/>
  <c r="AA163" i="2" l="1"/>
  <c r="T161" i="2"/>
  <c r="AA164" i="2" l="1"/>
  <c r="T162" i="2"/>
  <c r="AA165" i="2" l="1"/>
  <c r="T163" i="2"/>
  <c r="AA166" i="2" l="1"/>
  <c r="T164" i="2"/>
  <c r="AA167" i="2" l="1"/>
  <c r="T165" i="2"/>
  <c r="AA168" i="2" l="1"/>
  <c r="T166" i="2"/>
  <c r="AA169" i="2" l="1"/>
  <c r="T167" i="2"/>
  <c r="AA170" i="2" l="1"/>
  <c r="T168" i="2"/>
  <c r="AA171" i="2" l="1"/>
  <c r="T169" i="2"/>
  <c r="AA172" i="2" l="1"/>
  <c r="T170" i="2"/>
  <c r="AA173" i="2" l="1"/>
  <c r="T171" i="2"/>
  <c r="AA174" i="2" l="1"/>
  <c r="T172" i="2"/>
  <c r="AA175" i="2" l="1"/>
  <c r="T173" i="2"/>
  <c r="AA176" i="2" l="1"/>
  <c r="T174" i="2"/>
  <c r="AA177" i="2" l="1"/>
  <c r="T175" i="2"/>
  <c r="AA178" i="2" l="1"/>
  <c r="T176" i="2"/>
  <c r="AA179" i="2" l="1"/>
  <c r="T177" i="2"/>
  <c r="AA180" i="2" l="1"/>
  <c r="T178" i="2"/>
  <c r="AA181" i="2" l="1"/>
  <c r="T179" i="2"/>
  <c r="AA182" i="2" l="1"/>
  <c r="T180" i="2"/>
  <c r="AA183" i="2" l="1"/>
  <c r="T181" i="2"/>
  <c r="AA184" i="2" l="1"/>
  <c r="T182" i="2"/>
  <c r="AA185" i="2" l="1"/>
  <c r="T183" i="2"/>
  <c r="AA186" i="2" l="1"/>
  <c r="T184" i="2"/>
  <c r="AA187" i="2" l="1"/>
  <c r="T185" i="2"/>
  <c r="AA188" i="2" l="1"/>
  <c r="T186" i="2"/>
  <c r="AA189" i="2" l="1"/>
  <c r="T187" i="2"/>
  <c r="AA190" i="2" l="1"/>
  <c r="T188" i="2"/>
  <c r="AA191" i="2" l="1"/>
  <c r="T189" i="2"/>
  <c r="AA192" i="2" l="1"/>
  <c r="T190" i="2"/>
  <c r="AA193" i="2" l="1"/>
  <c r="T191" i="2"/>
  <c r="AA194" i="2" l="1"/>
  <c r="T192" i="2"/>
  <c r="AA195" i="2" l="1"/>
  <c r="T193" i="2"/>
  <c r="AA196" i="2" l="1"/>
  <c r="T194" i="2"/>
  <c r="AA197" i="2" l="1"/>
  <c r="T195" i="2"/>
  <c r="AA198" i="2" l="1"/>
  <c r="T196" i="2"/>
  <c r="AA199" i="2" l="1"/>
  <c r="T197" i="2"/>
  <c r="AA200" i="2" l="1"/>
  <c r="T198" i="2"/>
  <c r="AA201" i="2" l="1"/>
  <c r="T199" i="2"/>
  <c r="AA202" i="2" l="1"/>
  <c r="T200" i="2"/>
  <c r="AA203" i="2" l="1"/>
  <c r="T201" i="2"/>
  <c r="AA204" i="2" l="1"/>
  <c r="T202" i="2"/>
  <c r="AA205" i="2" l="1"/>
  <c r="T203" i="2"/>
  <c r="AA206" i="2" l="1"/>
  <c r="T204" i="2"/>
  <c r="AA207" i="2" l="1"/>
  <c r="T205" i="2"/>
  <c r="AA208" i="2" l="1"/>
  <c r="T206" i="2"/>
  <c r="AA209" i="2" l="1"/>
  <c r="T207" i="2"/>
  <c r="AA210" i="2" l="1"/>
  <c r="T208" i="2"/>
  <c r="AA211" i="2" l="1"/>
  <c r="T209" i="2"/>
  <c r="AA212" i="2" l="1"/>
  <c r="T210" i="2"/>
  <c r="AA213" i="2" l="1"/>
  <c r="T211" i="2"/>
  <c r="AA214" i="2" l="1"/>
  <c r="T212" i="2"/>
  <c r="AA215" i="2" l="1"/>
  <c r="T213" i="2"/>
  <c r="AA216" i="2" l="1"/>
  <c r="T214" i="2"/>
  <c r="AA217" i="2" l="1"/>
  <c r="T215" i="2"/>
  <c r="AA218" i="2" l="1"/>
  <c r="T216" i="2"/>
  <c r="AA219" i="2" l="1"/>
  <c r="T217" i="2"/>
  <c r="AA220" i="2" l="1"/>
  <c r="T218" i="2"/>
  <c r="AA221" i="2" l="1"/>
  <c r="T219" i="2"/>
  <c r="AA222" i="2" l="1"/>
  <c r="T220" i="2"/>
  <c r="AA223" i="2" l="1"/>
  <c r="T221" i="2"/>
  <c r="AA224" i="2" l="1"/>
  <c r="T222" i="2"/>
  <c r="AA225" i="2" l="1"/>
  <c r="T223" i="2"/>
  <c r="AA226" i="2" l="1"/>
  <c r="T224" i="2"/>
  <c r="AA228" i="2" l="1"/>
  <c r="AA227" i="2"/>
  <c r="T225" i="2"/>
  <c r="AB188" i="2" l="1"/>
  <c r="AC188" i="2" s="1"/>
  <c r="AD188" i="2" s="1"/>
  <c r="AE188" i="2" s="1"/>
  <c r="AB211" i="2"/>
  <c r="AC211" i="2" s="1"/>
  <c r="AD211" i="2" s="1"/>
  <c r="AE211" i="2" s="1"/>
  <c r="AB21" i="2"/>
  <c r="AC21" i="2" s="1"/>
  <c r="AD21" i="2" s="1"/>
  <c r="AE21" i="2" s="1"/>
  <c r="AB159" i="2"/>
  <c r="AC159" i="2" s="1"/>
  <c r="AD159" i="2" s="1"/>
  <c r="AE159" i="2" s="1"/>
  <c r="AB24" i="2"/>
  <c r="AC24" i="2" s="1"/>
  <c r="AD24" i="2" s="1"/>
  <c r="AE24" i="2" s="1"/>
  <c r="AB182" i="2"/>
  <c r="AC182" i="2" s="1"/>
  <c r="AD182" i="2" s="1"/>
  <c r="AE182" i="2" s="1"/>
  <c r="AB20" i="2"/>
  <c r="AC20" i="2" s="1"/>
  <c r="AD20" i="2" s="1"/>
  <c r="AE20" i="2" s="1"/>
  <c r="AB11" i="2"/>
  <c r="AC11" i="2" s="1"/>
  <c r="AD11" i="2" s="1"/>
  <c r="AE11" i="2" s="1"/>
  <c r="AB62" i="2"/>
  <c r="AC62" i="2" s="1"/>
  <c r="AD62" i="2" s="1"/>
  <c r="AE62" i="2" s="1"/>
  <c r="AB184" i="2"/>
  <c r="AC184" i="2" s="1"/>
  <c r="AD184" i="2" s="1"/>
  <c r="AE184" i="2" s="1"/>
  <c r="AB156" i="2"/>
  <c r="AC156" i="2" s="1"/>
  <c r="AD156" i="2" s="1"/>
  <c r="AE156" i="2" s="1"/>
  <c r="AB106" i="2"/>
  <c r="AC106" i="2" s="1"/>
  <c r="AD106" i="2" s="1"/>
  <c r="AE106" i="2" s="1"/>
  <c r="AB170" i="2"/>
  <c r="AC170" i="2" s="1"/>
  <c r="AD170" i="2" s="1"/>
  <c r="AE170" i="2" s="1"/>
  <c r="AB71" i="2"/>
  <c r="AC71" i="2" s="1"/>
  <c r="AD71" i="2" s="1"/>
  <c r="AE71" i="2" s="1"/>
  <c r="AB61" i="2"/>
  <c r="AC61" i="2" s="1"/>
  <c r="AD61" i="2" s="1"/>
  <c r="AE61" i="2" s="1"/>
  <c r="AB112" i="2"/>
  <c r="AC112" i="2" s="1"/>
  <c r="AD112" i="2" s="1"/>
  <c r="AE112" i="2" s="1"/>
  <c r="AB73" i="2"/>
  <c r="AC73" i="2" s="1"/>
  <c r="AD73" i="2" s="1"/>
  <c r="AE73" i="2" s="1"/>
  <c r="AB82" i="2"/>
  <c r="AC82" i="2" s="1"/>
  <c r="AD82" i="2" s="1"/>
  <c r="AE82" i="2" s="1"/>
  <c r="AB92" i="2"/>
  <c r="AC92" i="2" s="1"/>
  <c r="AD92" i="2" s="1"/>
  <c r="AE92" i="2" s="1"/>
  <c r="AB89" i="2"/>
  <c r="AC89" i="2" s="1"/>
  <c r="AD89" i="2" s="1"/>
  <c r="AE89" i="2" s="1"/>
  <c r="AB69" i="2"/>
  <c r="AC69" i="2" s="1"/>
  <c r="AD69" i="2" s="1"/>
  <c r="AE69" i="2" s="1"/>
  <c r="AB127" i="2"/>
  <c r="AC127" i="2" s="1"/>
  <c r="AD127" i="2" s="1"/>
  <c r="AE127" i="2" s="1"/>
  <c r="AB52" i="2"/>
  <c r="AC52" i="2" s="1"/>
  <c r="AD52" i="2" s="1"/>
  <c r="AE52" i="2" s="1"/>
  <c r="AB181" i="2"/>
  <c r="AC181" i="2" s="1"/>
  <c r="AD181" i="2" s="1"/>
  <c r="AE181" i="2" s="1"/>
  <c r="AB45" i="2"/>
  <c r="AC45" i="2" s="1"/>
  <c r="AD45" i="2" s="1"/>
  <c r="AE45" i="2" s="1"/>
  <c r="AB194" i="2"/>
  <c r="AC194" i="2" s="1"/>
  <c r="AD194" i="2" s="1"/>
  <c r="AE194" i="2" s="1"/>
  <c r="AB49" i="2"/>
  <c r="AC49" i="2" s="1"/>
  <c r="AD49" i="2" s="1"/>
  <c r="AE49" i="2" s="1"/>
  <c r="AB79" i="2"/>
  <c r="AC79" i="2" s="1"/>
  <c r="AD79" i="2" s="1"/>
  <c r="AE79" i="2" s="1"/>
  <c r="AB116" i="2"/>
  <c r="AC116" i="2" s="1"/>
  <c r="AD116" i="2" s="1"/>
  <c r="AE116" i="2" s="1"/>
  <c r="AB124" i="2"/>
  <c r="AC124" i="2" s="1"/>
  <c r="AD124" i="2" s="1"/>
  <c r="AE124" i="2" s="1"/>
  <c r="AB72" i="2"/>
  <c r="AC72" i="2" s="1"/>
  <c r="AD72" i="2" s="1"/>
  <c r="AE72" i="2" s="1"/>
  <c r="AB222" i="2"/>
  <c r="AC222" i="2" s="1"/>
  <c r="AD222" i="2" s="1"/>
  <c r="AE222" i="2" s="1"/>
  <c r="AB42" i="2"/>
  <c r="AC42" i="2" s="1"/>
  <c r="AD42" i="2" s="1"/>
  <c r="AE42" i="2" s="1"/>
  <c r="AB149" i="2"/>
  <c r="AC149" i="2" s="1"/>
  <c r="AD149" i="2" s="1"/>
  <c r="AE149" i="2" s="1"/>
  <c r="AB117" i="2"/>
  <c r="AC117" i="2" s="1"/>
  <c r="AD117" i="2" s="1"/>
  <c r="AE117" i="2" s="1"/>
  <c r="AB208" i="2"/>
  <c r="AC208" i="2" s="1"/>
  <c r="AD208" i="2" s="1"/>
  <c r="AE208" i="2" s="1"/>
  <c r="AB145" i="2"/>
  <c r="AC145" i="2" s="1"/>
  <c r="AD145" i="2" s="1"/>
  <c r="AE145" i="2" s="1"/>
  <c r="AB129" i="2"/>
  <c r="AC129" i="2" s="1"/>
  <c r="AD129" i="2" s="1"/>
  <c r="AE129" i="2" s="1"/>
  <c r="AB191" i="2"/>
  <c r="AC191" i="2" s="1"/>
  <c r="AD191" i="2" s="1"/>
  <c r="AE191" i="2" s="1"/>
  <c r="AB100" i="2"/>
  <c r="AC100" i="2" s="1"/>
  <c r="AD100" i="2" s="1"/>
  <c r="AE100" i="2" s="1"/>
  <c r="AB178" i="2"/>
  <c r="AC178" i="2" s="1"/>
  <c r="AD178" i="2" s="1"/>
  <c r="AE178" i="2" s="1"/>
  <c r="AB80" i="2"/>
  <c r="AC80" i="2" s="1"/>
  <c r="AD80" i="2" s="1"/>
  <c r="AE80" i="2" s="1"/>
  <c r="AB64" i="2"/>
  <c r="AC64" i="2" s="1"/>
  <c r="AD64" i="2" s="1"/>
  <c r="AE64" i="2" s="1"/>
  <c r="AB4" i="2"/>
  <c r="AC4" i="2" s="1"/>
  <c r="AD4" i="2" s="1"/>
  <c r="AE4" i="2" s="1"/>
  <c r="AB187" i="2"/>
  <c r="AC187" i="2" s="1"/>
  <c r="AD187" i="2" s="1"/>
  <c r="AE187" i="2" s="1"/>
  <c r="AB141" i="2"/>
  <c r="AC141" i="2" s="1"/>
  <c r="AD141" i="2" s="1"/>
  <c r="AE141" i="2" s="1"/>
  <c r="AB213" i="2"/>
  <c r="AC213" i="2" s="1"/>
  <c r="AD213" i="2" s="1"/>
  <c r="AE213" i="2" s="1"/>
  <c r="AB109" i="2"/>
  <c r="AC109" i="2" s="1"/>
  <c r="AD109" i="2" s="1"/>
  <c r="AE109" i="2" s="1"/>
  <c r="AB40" i="2"/>
  <c r="AC40" i="2" s="1"/>
  <c r="AD40" i="2" s="1"/>
  <c r="AE40" i="2" s="1"/>
  <c r="AB97" i="2"/>
  <c r="AC97" i="2" s="1"/>
  <c r="AD97" i="2" s="1"/>
  <c r="AE97" i="2" s="1"/>
  <c r="AB50" i="2"/>
  <c r="AC50" i="2" s="1"/>
  <c r="AD50" i="2" s="1"/>
  <c r="AE50" i="2" s="1"/>
  <c r="AB77" i="2"/>
  <c r="AC77" i="2" s="1"/>
  <c r="AD77" i="2" s="1"/>
  <c r="AE77" i="2" s="1"/>
  <c r="AB219" i="2"/>
  <c r="AC219" i="2" s="1"/>
  <c r="AD219" i="2" s="1"/>
  <c r="AE219" i="2" s="1"/>
  <c r="AB218" i="2"/>
  <c r="AC218" i="2" s="1"/>
  <c r="AD218" i="2" s="1"/>
  <c r="AE218" i="2" s="1"/>
  <c r="AB119" i="2"/>
  <c r="AC119" i="2" s="1"/>
  <c r="AD119" i="2" s="1"/>
  <c r="AE119" i="2" s="1"/>
  <c r="AB17" i="2"/>
  <c r="AC17" i="2" s="1"/>
  <c r="AD17" i="2" s="1"/>
  <c r="AE17" i="2" s="1"/>
  <c r="AB93" i="2"/>
  <c r="AC93" i="2" s="1"/>
  <c r="AD93" i="2" s="1"/>
  <c r="AE93" i="2" s="1"/>
  <c r="AB33" i="2"/>
  <c r="AC33" i="2" s="1"/>
  <c r="AD33" i="2" s="1"/>
  <c r="AE33" i="2" s="1"/>
  <c r="AB125" i="2"/>
  <c r="AC125" i="2" s="1"/>
  <c r="AD125" i="2" s="1"/>
  <c r="AE125" i="2" s="1"/>
  <c r="AB55" i="2"/>
  <c r="AC55" i="2" s="1"/>
  <c r="AD55" i="2" s="1"/>
  <c r="AE55" i="2" s="1"/>
  <c r="AB131" i="2"/>
  <c r="AC131" i="2" s="1"/>
  <c r="AD131" i="2" s="1"/>
  <c r="AE131" i="2" s="1"/>
  <c r="AB67" i="2"/>
  <c r="AC67" i="2" s="1"/>
  <c r="AD67" i="2" s="1"/>
  <c r="AE67" i="2" s="1"/>
  <c r="AB41" i="2"/>
  <c r="AC41" i="2" s="1"/>
  <c r="AD41" i="2" s="1"/>
  <c r="AE41" i="2" s="1"/>
  <c r="AB186" i="2"/>
  <c r="AC186" i="2" s="1"/>
  <c r="AD186" i="2" s="1"/>
  <c r="AE186" i="2" s="1"/>
  <c r="AB65" i="2"/>
  <c r="AC65" i="2" s="1"/>
  <c r="AD65" i="2" s="1"/>
  <c r="AE65" i="2" s="1"/>
  <c r="AB57" i="2"/>
  <c r="AC57" i="2" s="1"/>
  <c r="AD57" i="2" s="1"/>
  <c r="AE57" i="2" s="1"/>
  <c r="AB19" i="2"/>
  <c r="AC19" i="2" s="1"/>
  <c r="AD19" i="2" s="1"/>
  <c r="AE19" i="2" s="1"/>
  <c r="AB173" i="2"/>
  <c r="AC173" i="2" s="1"/>
  <c r="AD173" i="2" s="1"/>
  <c r="AE173" i="2" s="1"/>
  <c r="AB38" i="2"/>
  <c r="AC38" i="2" s="1"/>
  <c r="AD38" i="2" s="1"/>
  <c r="AE38" i="2" s="1"/>
  <c r="AB88" i="2"/>
  <c r="AC88" i="2" s="1"/>
  <c r="AD88" i="2" s="1"/>
  <c r="AE88" i="2" s="1"/>
  <c r="AB185" i="2"/>
  <c r="AC185" i="2" s="1"/>
  <c r="AD185" i="2" s="1"/>
  <c r="AE185" i="2" s="1"/>
  <c r="AB75" i="2"/>
  <c r="AC75" i="2" s="1"/>
  <c r="AD75" i="2" s="1"/>
  <c r="AE75" i="2" s="1"/>
  <c r="AB167" i="2"/>
  <c r="AC167" i="2" s="1"/>
  <c r="AD167" i="2" s="1"/>
  <c r="AE167" i="2" s="1"/>
  <c r="AB180" i="2"/>
  <c r="AC180" i="2" s="1"/>
  <c r="AD180" i="2" s="1"/>
  <c r="AE180" i="2" s="1"/>
  <c r="AB63" i="2"/>
  <c r="AC63" i="2" s="1"/>
  <c r="AD63" i="2" s="1"/>
  <c r="AE63" i="2" s="1"/>
  <c r="AB177" i="2"/>
  <c r="AC177" i="2" s="1"/>
  <c r="AD177" i="2" s="1"/>
  <c r="AE177" i="2" s="1"/>
  <c r="AB5" i="2"/>
  <c r="AC5" i="2" s="1"/>
  <c r="AD5" i="2" s="1"/>
  <c r="AE5" i="2" s="1"/>
  <c r="AB164" i="2"/>
  <c r="AC164" i="2" s="1"/>
  <c r="AD164" i="2" s="1"/>
  <c r="AE164" i="2" s="1"/>
  <c r="AB147" i="2"/>
  <c r="AC147" i="2" s="1"/>
  <c r="AD147" i="2" s="1"/>
  <c r="AE147" i="2" s="1"/>
  <c r="AB26" i="2"/>
  <c r="AC26" i="2" s="1"/>
  <c r="AD26" i="2" s="1"/>
  <c r="AE26" i="2" s="1"/>
  <c r="AB151" i="2"/>
  <c r="AC151" i="2" s="1"/>
  <c r="AD151" i="2" s="1"/>
  <c r="AE151" i="2" s="1"/>
  <c r="AB198" i="2"/>
  <c r="AC198" i="2" s="1"/>
  <c r="AD198" i="2" s="1"/>
  <c r="AE198" i="2" s="1"/>
  <c r="AB56" i="2"/>
  <c r="AC56" i="2" s="1"/>
  <c r="AD56" i="2" s="1"/>
  <c r="AE56" i="2" s="1"/>
  <c r="AB226" i="2"/>
  <c r="AC226" i="2" s="1"/>
  <c r="AD226" i="2" s="1"/>
  <c r="AE226" i="2" s="1"/>
  <c r="AB84" i="2"/>
  <c r="AC84" i="2" s="1"/>
  <c r="AD84" i="2" s="1"/>
  <c r="AE84" i="2" s="1"/>
  <c r="AB169" i="2"/>
  <c r="AC169" i="2" s="1"/>
  <c r="AD169" i="2" s="1"/>
  <c r="AE169" i="2" s="1"/>
  <c r="AB150" i="2"/>
  <c r="AC150" i="2" s="1"/>
  <c r="AD150" i="2" s="1"/>
  <c r="AE150" i="2" s="1"/>
  <c r="AB204" i="2"/>
  <c r="AC204" i="2" s="1"/>
  <c r="AD204" i="2" s="1"/>
  <c r="AE204" i="2" s="1"/>
  <c r="AB158" i="2"/>
  <c r="AC158" i="2" s="1"/>
  <c r="AD158" i="2" s="1"/>
  <c r="AE158" i="2" s="1"/>
  <c r="AB128" i="2"/>
  <c r="AC128" i="2" s="1"/>
  <c r="AD128" i="2" s="1"/>
  <c r="AE128" i="2" s="1"/>
  <c r="AB228" i="2"/>
  <c r="AC228" i="2" s="1"/>
  <c r="AD228" i="2" s="1"/>
  <c r="AE228" i="2" s="1"/>
  <c r="AB179" i="2"/>
  <c r="AC179" i="2" s="1"/>
  <c r="AD179" i="2" s="1"/>
  <c r="AE179" i="2" s="1"/>
  <c r="AB152" i="2"/>
  <c r="AC152" i="2" s="1"/>
  <c r="AD152" i="2" s="1"/>
  <c r="AE152" i="2" s="1"/>
  <c r="AB154" i="2"/>
  <c r="AC154" i="2" s="1"/>
  <c r="AD154" i="2" s="1"/>
  <c r="AE154" i="2" s="1"/>
  <c r="AB136" i="2"/>
  <c r="AC136" i="2" s="1"/>
  <c r="AD136" i="2" s="1"/>
  <c r="AE136" i="2" s="1"/>
  <c r="AB140" i="2"/>
  <c r="AC140" i="2" s="1"/>
  <c r="AD140" i="2" s="1"/>
  <c r="AE140" i="2" s="1"/>
  <c r="AB115" i="2"/>
  <c r="AC115" i="2" s="1"/>
  <c r="AD115" i="2" s="1"/>
  <c r="AE115" i="2" s="1"/>
  <c r="AB99" i="2"/>
  <c r="AC99" i="2" s="1"/>
  <c r="AD99" i="2" s="1"/>
  <c r="AE99" i="2" s="1"/>
  <c r="AB134" i="2"/>
  <c r="AC134" i="2" s="1"/>
  <c r="AD134" i="2" s="1"/>
  <c r="AE134" i="2" s="1"/>
  <c r="AB126" i="2"/>
  <c r="AC126" i="2" s="1"/>
  <c r="AD126" i="2" s="1"/>
  <c r="AE126" i="2" s="1"/>
  <c r="AB144" i="2"/>
  <c r="AC144" i="2" s="1"/>
  <c r="AD144" i="2" s="1"/>
  <c r="AE144" i="2" s="1"/>
  <c r="AB48" i="2"/>
  <c r="AC48" i="2" s="1"/>
  <c r="AD48" i="2" s="1"/>
  <c r="AE48" i="2" s="1"/>
  <c r="AB83" i="2"/>
  <c r="AC83" i="2" s="1"/>
  <c r="AD83" i="2" s="1"/>
  <c r="AE83" i="2" s="1"/>
  <c r="AB220" i="2"/>
  <c r="AC220" i="2" s="1"/>
  <c r="AD220" i="2" s="1"/>
  <c r="AE220" i="2" s="1"/>
  <c r="AB224" i="2"/>
  <c r="AC224" i="2" s="1"/>
  <c r="AD224" i="2" s="1"/>
  <c r="AE224" i="2" s="1"/>
  <c r="AB111" i="2"/>
  <c r="AC111" i="2" s="1"/>
  <c r="AD111" i="2" s="1"/>
  <c r="AE111" i="2" s="1"/>
  <c r="AB123" i="2"/>
  <c r="AC123" i="2" s="1"/>
  <c r="AD123" i="2" s="1"/>
  <c r="AE123" i="2" s="1"/>
  <c r="AB168" i="2"/>
  <c r="AC168" i="2" s="1"/>
  <c r="AD168" i="2" s="1"/>
  <c r="AE168" i="2" s="1"/>
  <c r="AB22" i="2"/>
  <c r="AC22" i="2" s="1"/>
  <c r="AD22" i="2" s="1"/>
  <c r="AE22" i="2" s="1"/>
  <c r="AB161" i="2"/>
  <c r="AC161" i="2" s="1"/>
  <c r="AD161" i="2" s="1"/>
  <c r="AE161" i="2" s="1"/>
  <c r="AB34" i="2"/>
  <c r="AC34" i="2" s="1"/>
  <c r="AD34" i="2" s="1"/>
  <c r="AE34" i="2" s="1"/>
  <c r="AB59" i="2"/>
  <c r="AC59" i="2" s="1"/>
  <c r="AD59" i="2" s="1"/>
  <c r="AE59" i="2" s="1"/>
  <c r="AB46" i="2"/>
  <c r="AC46" i="2" s="1"/>
  <c r="AD46" i="2" s="1"/>
  <c r="AE46" i="2" s="1"/>
  <c r="AB153" i="2"/>
  <c r="AC153" i="2" s="1"/>
  <c r="AD153" i="2" s="1"/>
  <c r="AE153" i="2" s="1"/>
  <c r="AB78" i="2"/>
  <c r="AC78" i="2" s="1"/>
  <c r="AD78" i="2" s="1"/>
  <c r="AE78" i="2" s="1"/>
  <c r="AB90" i="2"/>
  <c r="AC90" i="2" s="1"/>
  <c r="AD90" i="2" s="1"/>
  <c r="AE90" i="2" s="1"/>
  <c r="AB148" i="2"/>
  <c r="AC148" i="2" s="1"/>
  <c r="AD148" i="2" s="1"/>
  <c r="AE148" i="2" s="1"/>
  <c r="AB143" i="2"/>
  <c r="AC143" i="2" s="1"/>
  <c r="AD143" i="2" s="1"/>
  <c r="AE143" i="2" s="1"/>
  <c r="AB51" i="2"/>
  <c r="AC51" i="2" s="1"/>
  <c r="AD51" i="2" s="1"/>
  <c r="AE51" i="2" s="1"/>
  <c r="AB223" i="2"/>
  <c r="AC223" i="2" s="1"/>
  <c r="AD223" i="2" s="1"/>
  <c r="AE223" i="2" s="1"/>
  <c r="AB201" i="2"/>
  <c r="AC201" i="2" s="1"/>
  <c r="AD201" i="2" s="1"/>
  <c r="AE201" i="2" s="1"/>
  <c r="AB95" i="2"/>
  <c r="AC95" i="2" s="1"/>
  <c r="AD95" i="2" s="1"/>
  <c r="AE95" i="2" s="1"/>
  <c r="AB13" i="2"/>
  <c r="AC13" i="2" s="1"/>
  <c r="AD13" i="2" s="1"/>
  <c r="AE13" i="2" s="1"/>
  <c r="AB210" i="2"/>
  <c r="AC210" i="2" s="1"/>
  <c r="AD210" i="2" s="1"/>
  <c r="AE210" i="2" s="1"/>
  <c r="AB227" i="2"/>
  <c r="AC227" i="2" s="1"/>
  <c r="AD227" i="2" s="1"/>
  <c r="AE227" i="2" s="1"/>
  <c r="AB35" i="2"/>
  <c r="AC35" i="2" s="1"/>
  <c r="AD35" i="2" s="1"/>
  <c r="AE35" i="2" s="1"/>
  <c r="AB206" i="2"/>
  <c r="AC206" i="2" s="1"/>
  <c r="AD206" i="2" s="1"/>
  <c r="AE206" i="2" s="1"/>
  <c r="AB176" i="2"/>
  <c r="AC176" i="2" s="1"/>
  <c r="AD176" i="2" s="1"/>
  <c r="AE176" i="2" s="1"/>
  <c r="AB192" i="2"/>
  <c r="AC192" i="2" s="1"/>
  <c r="AD192" i="2" s="1"/>
  <c r="AE192" i="2" s="1"/>
  <c r="AB132" i="2"/>
  <c r="AC132" i="2" s="1"/>
  <c r="AD132" i="2" s="1"/>
  <c r="AE132" i="2" s="1"/>
  <c r="AB225" i="2"/>
  <c r="AC225" i="2" s="1"/>
  <c r="AD225" i="2" s="1"/>
  <c r="AE225" i="2" s="1"/>
  <c r="AB212" i="2"/>
  <c r="AC212" i="2" s="1"/>
  <c r="AD212" i="2" s="1"/>
  <c r="AE212" i="2" s="1"/>
  <c r="AB104" i="2"/>
  <c r="AC104" i="2" s="1"/>
  <c r="AD104" i="2" s="1"/>
  <c r="AE104" i="2" s="1"/>
  <c r="AB29" i="2"/>
  <c r="AC29" i="2" s="1"/>
  <c r="AD29" i="2" s="1"/>
  <c r="AE29" i="2" s="1"/>
  <c r="AB205" i="2"/>
  <c r="AC205" i="2" s="1"/>
  <c r="AD205" i="2" s="1"/>
  <c r="AE205" i="2" s="1"/>
  <c r="AB183" i="2"/>
  <c r="AC183" i="2" s="1"/>
  <c r="AD183" i="2" s="1"/>
  <c r="AE183" i="2" s="1"/>
  <c r="AB137" i="2"/>
  <c r="AC137" i="2" s="1"/>
  <c r="AD137" i="2" s="1"/>
  <c r="AE137" i="2" s="1"/>
  <c r="AB85" i="2"/>
  <c r="AC85" i="2" s="1"/>
  <c r="AD85" i="2" s="1"/>
  <c r="AE85" i="2" s="1"/>
  <c r="AB31" i="2"/>
  <c r="AC31" i="2" s="1"/>
  <c r="AD31" i="2" s="1"/>
  <c r="AE31" i="2" s="1"/>
  <c r="AB44" i="2"/>
  <c r="AC44" i="2" s="1"/>
  <c r="AD44" i="2" s="1"/>
  <c r="AE44" i="2" s="1"/>
  <c r="AB37" i="2"/>
  <c r="AC37" i="2" s="1"/>
  <c r="AD37" i="2" s="1"/>
  <c r="AE37" i="2" s="1"/>
  <c r="AB9" i="2"/>
  <c r="AC9" i="2" s="1"/>
  <c r="AD9" i="2" s="1"/>
  <c r="AE9" i="2" s="1"/>
  <c r="AB14" i="2"/>
  <c r="AC14" i="2" s="1"/>
  <c r="AD14" i="2" s="1"/>
  <c r="AE14" i="2" s="1"/>
  <c r="AB157" i="2"/>
  <c r="AC157" i="2" s="1"/>
  <c r="AD157" i="2" s="1"/>
  <c r="AE157" i="2" s="1"/>
  <c r="AB86" i="2"/>
  <c r="AC86" i="2" s="1"/>
  <c r="AD86" i="2" s="1"/>
  <c r="AE86" i="2" s="1"/>
  <c r="AB47" i="2"/>
  <c r="AC47" i="2" s="1"/>
  <c r="AD47" i="2" s="1"/>
  <c r="AE47" i="2" s="1"/>
  <c r="AB146" i="2"/>
  <c r="AC146" i="2" s="1"/>
  <c r="AD146" i="2" s="1"/>
  <c r="AE146" i="2" s="1"/>
  <c r="AB94" i="2"/>
  <c r="AC94" i="2" s="1"/>
  <c r="AD94" i="2" s="1"/>
  <c r="AE94" i="2" s="1"/>
  <c r="AB217" i="2"/>
  <c r="AC217" i="2" s="1"/>
  <c r="AD217" i="2" s="1"/>
  <c r="AE217" i="2" s="1"/>
  <c r="AB196" i="2"/>
  <c r="AC196" i="2" s="1"/>
  <c r="AD196" i="2" s="1"/>
  <c r="AE196" i="2" s="1"/>
  <c r="AB138" i="2"/>
  <c r="AC138" i="2" s="1"/>
  <c r="AD138" i="2" s="1"/>
  <c r="AE138" i="2" s="1"/>
  <c r="AB165" i="2"/>
  <c r="AC165" i="2" s="1"/>
  <c r="AD165" i="2" s="1"/>
  <c r="AE165" i="2" s="1"/>
  <c r="AB30" i="2"/>
  <c r="AC30" i="2" s="1"/>
  <c r="AD30" i="2" s="1"/>
  <c r="AE30" i="2" s="1"/>
  <c r="AB121" i="2"/>
  <c r="AC121" i="2" s="1"/>
  <c r="AD121" i="2" s="1"/>
  <c r="AE121" i="2" s="1"/>
  <c r="AB53" i="2"/>
  <c r="AC53" i="2" s="1"/>
  <c r="AD53" i="2" s="1"/>
  <c r="AE53" i="2" s="1"/>
  <c r="AB193" i="2"/>
  <c r="AC193" i="2" s="1"/>
  <c r="AD193" i="2" s="1"/>
  <c r="AE193" i="2" s="1"/>
  <c r="AB23" i="2"/>
  <c r="AC23" i="2" s="1"/>
  <c r="AD23" i="2" s="1"/>
  <c r="AE23" i="2" s="1"/>
  <c r="AB66" i="2"/>
  <c r="AC66" i="2" s="1"/>
  <c r="AD66" i="2" s="1"/>
  <c r="AE66" i="2" s="1"/>
  <c r="AB135" i="2"/>
  <c r="AC135" i="2" s="1"/>
  <c r="AD135" i="2" s="1"/>
  <c r="AE135" i="2" s="1"/>
  <c r="AB214" i="2"/>
  <c r="AC214" i="2" s="1"/>
  <c r="AD214" i="2" s="1"/>
  <c r="AE214" i="2" s="1"/>
  <c r="AB155" i="2"/>
  <c r="AC155" i="2" s="1"/>
  <c r="AD155" i="2" s="1"/>
  <c r="AE155" i="2" s="1"/>
  <c r="AB101" i="2"/>
  <c r="AC101" i="2" s="1"/>
  <c r="AD101" i="2" s="1"/>
  <c r="AE101" i="2" s="1"/>
  <c r="AB76" i="2"/>
  <c r="AC76" i="2" s="1"/>
  <c r="AD76" i="2" s="1"/>
  <c r="AE76" i="2" s="1"/>
  <c r="AB221" i="2"/>
  <c r="AC221" i="2" s="1"/>
  <c r="AD221" i="2" s="1"/>
  <c r="AE221" i="2" s="1"/>
  <c r="AB12" i="2"/>
  <c r="AC12" i="2" s="1"/>
  <c r="AD12" i="2" s="1"/>
  <c r="AE12" i="2" s="1"/>
  <c r="AB190" i="2"/>
  <c r="AC190" i="2" s="1"/>
  <c r="AD190" i="2" s="1"/>
  <c r="AE190" i="2" s="1"/>
  <c r="AB18" i="2"/>
  <c r="AC18" i="2" s="1"/>
  <c r="AD18" i="2" s="1"/>
  <c r="AE18" i="2" s="1"/>
  <c r="AB27" i="2"/>
  <c r="AC27" i="2" s="1"/>
  <c r="AD27" i="2" s="1"/>
  <c r="AE27" i="2" s="1"/>
  <c r="AB7" i="2"/>
  <c r="AC7" i="2" s="1"/>
  <c r="AD7" i="2" s="1"/>
  <c r="AE7" i="2" s="1"/>
  <c r="AB108" i="2"/>
  <c r="AC108" i="2" s="1"/>
  <c r="AD108" i="2" s="1"/>
  <c r="AE108" i="2" s="1"/>
  <c r="AB175" i="2"/>
  <c r="AC175" i="2" s="1"/>
  <c r="AD175" i="2" s="1"/>
  <c r="AE175" i="2" s="1"/>
  <c r="AB160" i="2"/>
  <c r="AC160" i="2" s="1"/>
  <c r="AD160" i="2" s="1"/>
  <c r="AE160" i="2" s="1"/>
  <c r="AB102" i="2"/>
  <c r="AC102" i="2" s="1"/>
  <c r="AD102" i="2" s="1"/>
  <c r="AE102" i="2" s="1"/>
  <c r="AB166" i="2"/>
  <c r="AC166" i="2" s="1"/>
  <c r="AD166" i="2" s="1"/>
  <c r="AE166" i="2" s="1"/>
  <c r="AB130" i="2"/>
  <c r="AC130" i="2" s="1"/>
  <c r="AD130" i="2" s="1"/>
  <c r="AE130" i="2" s="1"/>
  <c r="AB16" i="2"/>
  <c r="AC16" i="2" s="1"/>
  <c r="AD16" i="2" s="1"/>
  <c r="AE16" i="2" s="1"/>
  <c r="AB114" i="2"/>
  <c r="AC114" i="2" s="1"/>
  <c r="AD114" i="2" s="1"/>
  <c r="AE114" i="2" s="1"/>
  <c r="AB110" i="2"/>
  <c r="AC110" i="2" s="1"/>
  <c r="AD110" i="2" s="1"/>
  <c r="AE110" i="2" s="1"/>
  <c r="AB142" i="2"/>
  <c r="AC142" i="2" s="1"/>
  <c r="AD142" i="2" s="1"/>
  <c r="AE142" i="2" s="1"/>
  <c r="AB202" i="2"/>
  <c r="AC202" i="2" s="1"/>
  <c r="AD202" i="2" s="1"/>
  <c r="AE202" i="2" s="1"/>
  <c r="AB200" i="2"/>
  <c r="AC200" i="2" s="1"/>
  <c r="AD200" i="2" s="1"/>
  <c r="AE200" i="2" s="1"/>
  <c r="AB216" i="2"/>
  <c r="AC216" i="2" s="1"/>
  <c r="AD216" i="2" s="1"/>
  <c r="AE216" i="2" s="1"/>
  <c r="AB122" i="2"/>
  <c r="AC122" i="2" s="1"/>
  <c r="AD122" i="2" s="1"/>
  <c r="AE122" i="2" s="1"/>
  <c r="AB163" i="2"/>
  <c r="AC163" i="2" s="1"/>
  <c r="AD163" i="2" s="1"/>
  <c r="AE163" i="2" s="1"/>
  <c r="AB43" i="2"/>
  <c r="AC43" i="2" s="1"/>
  <c r="AD43" i="2" s="1"/>
  <c r="AE43" i="2" s="1"/>
  <c r="AB15" i="2"/>
  <c r="AC15" i="2" s="1"/>
  <c r="AD15" i="2" s="1"/>
  <c r="AE15" i="2" s="1"/>
  <c r="AB10" i="2"/>
  <c r="AC10" i="2" s="1"/>
  <c r="AD10" i="2" s="1"/>
  <c r="AE10" i="2" s="1"/>
  <c r="AB36" i="2"/>
  <c r="AC36" i="2" s="1"/>
  <c r="AD36" i="2" s="1"/>
  <c r="AE36" i="2" s="1"/>
  <c r="AB171" i="2"/>
  <c r="AC171" i="2" s="1"/>
  <c r="AD171" i="2" s="1"/>
  <c r="AE171" i="2" s="1"/>
  <c r="AB98" i="2"/>
  <c r="AC98" i="2" s="1"/>
  <c r="AD98" i="2" s="1"/>
  <c r="AE98" i="2" s="1"/>
  <c r="AB105" i="2"/>
  <c r="AC105" i="2" s="1"/>
  <c r="AD105" i="2" s="1"/>
  <c r="AE105" i="2" s="1"/>
  <c r="AB174" i="2"/>
  <c r="AC174" i="2" s="1"/>
  <c r="AD174" i="2" s="1"/>
  <c r="AE174" i="2" s="1"/>
  <c r="AB6" i="2"/>
  <c r="AC6" i="2" s="1"/>
  <c r="AD6" i="2" s="1"/>
  <c r="AE6" i="2" s="1"/>
  <c r="AB162" i="2"/>
  <c r="AC162" i="2" s="1"/>
  <c r="AD162" i="2" s="1"/>
  <c r="AE162" i="2" s="1"/>
  <c r="AB215" i="2"/>
  <c r="AC215" i="2" s="1"/>
  <c r="AD215" i="2" s="1"/>
  <c r="AE215" i="2" s="1"/>
  <c r="AB133" i="2"/>
  <c r="AC133" i="2" s="1"/>
  <c r="AD133" i="2" s="1"/>
  <c r="AE133" i="2" s="1"/>
  <c r="AB87" i="2"/>
  <c r="AC87" i="2" s="1"/>
  <c r="AD87" i="2" s="1"/>
  <c r="AE87" i="2" s="1"/>
  <c r="AB172" i="2"/>
  <c r="AC172" i="2" s="1"/>
  <c r="AD172" i="2" s="1"/>
  <c r="AE172" i="2" s="1"/>
  <c r="AB189" i="2"/>
  <c r="AC189" i="2" s="1"/>
  <c r="AD189" i="2" s="1"/>
  <c r="AE189" i="2" s="1"/>
  <c r="AB195" i="2"/>
  <c r="AC195" i="2" s="1"/>
  <c r="AD195" i="2" s="1"/>
  <c r="AE195" i="2" s="1"/>
  <c r="AB118" i="2"/>
  <c r="AC118" i="2" s="1"/>
  <c r="AD118" i="2" s="1"/>
  <c r="AE118" i="2" s="1"/>
  <c r="AB207" i="2"/>
  <c r="AC207" i="2" s="1"/>
  <c r="AD207" i="2" s="1"/>
  <c r="AE207" i="2" s="1"/>
  <c r="AB3" i="2"/>
  <c r="AC3" i="2" s="1"/>
  <c r="AD3" i="2" s="1"/>
  <c r="AE3" i="2" s="1"/>
  <c r="AB209" i="2"/>
  <c r="AC209" i="2" s="1"/>
  <c r="AD209" i="2" s="1"/>
  <c r="AE209" i="2" s="1"/>
  <c r="AB39" i="2"/>
  <c r="AC39" i="2" s="1"/>
  <c r="AD39" i="2" s="1"/>
  <c r="AE39" i="2" s="1"/>
  <c r="AB197" i="2"/>
  <c r="AC197" i="2" s="1"/>
  <c r="AD197" i="2" s="1"/>
  <c r="AE197" i="2" s="1"/>
  <c r="AB199" i="2"/>
  <c r="AC199" i="2" s="1"/>
  <c r="AD199" i="2" s="1"/>
  <c r="AE199" i="2" s="1"/>
  <c r="AB74" i="2"/>
  <c r="AC74" i="2" s="1"/>
  <c r="AD74" i="2" s="1"/>
  <c r="AE74" i="2" s="1"/>
  <c r="AB203" i="2"/>
  <c r="AC203" i="2" s="1"/>
  <c r="AD203" i="2" s="1"/>
  <c r="AE203" i="2" s="1"/>
  <c r="AB81" i="2"/>
  <c r="AC81" i="2" s="1"/>
  <c r="AD81" i="2" s="1"/>
  <c r="AE81" i="2" s="1"/>
  <c r="AB32" i="2"/>
  <c r="AC32" i="2" s="1"/>
  <c r="AD32" i="2" s="1"/>
  <c r="AE32" i="2" s="1"/>
  <c r="AB113" i="2"/>
  <c r="AC113" i="2" s="1"/>
  <c r="AD113" i="2" s="1"/>
  <c r="AE113" i="2" s="1"/>
  <c r="AB58" i="2"/>
  <c r="AC58" i="2" s="1"/>
  <c r="AD58" i="2" s="1"/>
  <c r="AE58" i="2" s="1"/>
  <c r="AB103" i="2"/>
  <c r="AC103" i="2" s="1"/>
  <c r="AD103" i="2" s="1"/>
  <c r="AE103" i="2" s="1"/>
  <c r="AB8" i="2"/>
  <c r="AC8" i="2" s="1"/>
  <c r="AD8" i="2" s="1"/>
  <c r="AE8" i="2" s="1"/>
  <c r="AB70" i="2"/>
  <c r="AC70" i="2" s="1"/>
  <c r="AD70" i="2" s="1"/>
  <c r="AE70" i="2" s="1"/>
  <c r="AB120" i="2"/>
  <c r="AC120" i="2" s="1"/>
  <c r="AD120" i="2" s="1"/>
  <c r="AE120" i="2" s="1"/>
  <c r="AB91" i="2"/>
  <c r="AC91" i="2" s="1"/>
  <c r="AD91" i="2" s="1"/>
  <c r="AE91" i="2" s="1"/>
  <c r="AB28" i="2"/>
  <c r="AC28" i="2" s="1"/>
  <c r="AD28" i="2" s="1"/>
  <c r="AE28" i="2" s="1"/>
  <c r="AB60" i="2"/>
  <c r="AC60" i="2" s="1"/>
  <c r="AD60" i="2" s="1"/>
  <c r="AE60" i="2" s="1"/>
  <c r="AB68" i="2"/>
  <c r="AC68" i="2" s="1"/>
  <c r="AD68" i="2" s="1"/>
  <c r="AE68" i="2" s="1"/>
  <c r="AB139" i="2"/>
  <c r="AC139" i="2" s="1"/>
  <c r="AD139" i="2" s="1"/>
  <c r="AE139" i="2" s="1"/>
  <c r="AB25" i="2"/>
  <c r="AC25" i="2" s="1"/>
  <c r="AD25" i="2" s="1"/>
  <c r="AE25" i="2" s="1"/>
  <c r="AB96" i="2"/>
  <c r="AC96" i="2" s="1"/>
  <c r="AD96" i="2" s="1"/>
  <c r="AE96" i="2" s="1"/>
  <c r="AB107" i="2"/>
  <c r="AC107" i="2" s="1"/>
  <c r="AD107" i="2" s="1"/>
  <c r="AE107" i="2" s="1"/>
  <c r="AB54" i="2"/>
  <c r="AC54" i="2" s="1"/>
  <c r="AD54" i="2" s="1"/>
  <c r="AE54" i="2" s="1"/>
  <c r="T226" i="2"/>
  <c r="J20" i="6" l="1"/>
  <c r="K20" i="6"/>
  <c r="L20" i="6" s="1"/>
  <c r="J8" i="6"/>
  <c r="K8" i="6"/>
  <c r="L8" i="6" s="1"/>
  <c r="J15" i="6"/>
  <c r="K15" i="6"/>
  <c r="L15" i="6" s="1"/>
  <c r="J12" i="6"/>
  <c r="K12" i="6"/>
  <c r="L12" i="6" s="1"/>
  <c r="J7" i="6"/>
  <c r="K7" i="6"/>
  <c r="L7" i="6" s="1"/>
  <c r="J14" i="6"/>
  <c r="K14" i="6"/>
  <c r="L14" i="6" s="1"/>
  <c r="J18" i="6"/>
  <c r="K18" i="6"/>
  <c r="L18" i="6" s="1"/>
  <c r="K17" i="6"/>
  <c r="L17" i="6" s="1"/>
  <c r="J17" i="6"/>
  <c r="J19" i="6"/>
  <c r="K19" i="6"/>
  <c r="L19" i="6" s="1"/>
  <c r="K13" i="6"/>
  <c r="L13" i="6" s="1"/>
  <c r="J13" i="6"/>
  <c r="J10" i="6"/>
  <c r="K10" i="6"/>
  <c r="L10" i="6" s="1"/>
  <c r="J11" i="6"/>
  <c r="K11" i="6"/>
  <c r="L11" i="6" s="1"/>
  <c r="J16" i="6"/>
  <c r="K16" i="6"/>
  <c r="L16" i="6" s="1"/>
  <c r="K9" i="6"/>
  <c r="L9" i="6" s="1"/>
  <c r="J9" i="6"/>
  <c r="T228" i="2"/>
  <c r="T227" i="2"/>
  <c r="U4" i="2" l="1"/>
  <c r="V4" i="2" s="1"/>
  <c r="W4" i="2" s="1"/>
  <c r="X4" i="2" s="1"/>
  <c r="U24" i="2"/>
  <c r="V24" i="2" s="1"/>
  <c r="W24" i="2" s="1"/>
  <c r="X24" i="2" s="1"/>
  <c r="U68" i="2"/>
  <c r="V68" i="2" s="1"/>
  <c r="W68" i="2" s="1"/>
  <c r="X68" i="2" s="1"/>
  <c r="U11" i="2"/>
  <c r="V11" i="2" s="1"/>
  <c r="W11" i="2" s="1"/>
  <c r="X11" i="2" s="1"/>
  <c r="U171" i="2"/>
  <c r="V171" i="2" s="1"/>
  <c r="W171" i="2" s="1"/>
  <c r="X171" i="2" s="1"/>
  <c r="U125" i="2"/>
  <c r="V125" i="2" s="1"/>
  <c r="W125" i="2" s="1"/>
  <c r="X125" i="2" s="1"/>
  <c r="U80" i="2"/>
  <c r="V80" i="2" s="1"/>
  <c r="W80" i="2" s="1"/>
  <c r="X80" i="2" s="1"/>
  <c r="U177" i="2"/>
  <c r="V177" i="2" s="1"/>
  <c r="W177" i="2" s="1"/>
  <c r="X177" i="2" s="1"/>
  <c r="U196" i="2"/>
  <c r="V196" i="2" s="1"/>
  <c r="W196" i="2" s="1"/>
  <c r="X196" i="2" s="1"/>
  <c r="U167" i="2"/>
  <c r="V167" i="2" s="1"/>
  <c r="W167" i="2" s="1"/>
  <c r="X167" i="2" s="1"/>
  <c r="U79" i="2"/>
  <c r="V79" i="2" s="1"/>
  <c r="W79" i="2" s="1"/>
  <c r="X79" i="2" s="1"/>
  <c r="U27" i="2"/>
  <c r="V27" i="2" s="1"/>
  <c r="W27" i="2" s="1"/>
  <c r="X27" i="2" s="1"/>
  <c r="U127" i="2"/>
  <c r="V127" i="2" s="1"/>
  <c r="W127" i="2" s="1"/>
  <c r="X127" i="2" s="1"/>
  <c r="U103" i="2"/>
  <c r="V103" i="2" s="1"/>
  <c r="W103" i="2" s="1"/>
  <c r="X103" i="2" s="1"/>
  <c r="U156" i="2"/>
  <c r="V156" i="2" s="1"/>
  <c r="W156" i="2" s="1"/>
  <c r="X156" i="2" s="1"/>
  <c r="U98" i="2"/>
  <c r="V98" i="2" s="1"/>
  <c r="W98" i="2" s="1"/>
  <c r="X98" i="2" s="1"/>
  <c r="U45" i="2"/>
  <c r="V45" i="2" s="1"/>
  <c r="W45" i="2" s="1"/>
  <c r="X45" i="2" s="1"/>
  <c r="U225" i="2"/>
  <c r="V225" i="2" s="1"/>
  <c r="W225" i="2" s="1"/>
  <c r="X225" i="2" s="1"/>
  <c r="U163" i="2"/>
  <c r="V163" i="2" s="1"/>
  <c r="W163" i="2" s="1"/>
  <c r="X163" i="2" s="1"/>
  <c r="U222" i="2"/>
  <c r="V222" i="2" s="1"/>
  <c r="W222" i="2" s="1"/>
  <c r="X222" i="2" s="1"/>
  <c r="U102" i="2"/>
  <c r="V102" i="2" s="1"/>
  <c r="W102" i="2" s="1"/>
  <c r="X102" i="2" s="1"/>
  <c r="U165" i="2"/>
  <c r="V165" i="2" s="1"/>
  <c r="W165" i="2" s="1"/>
  <c r="X165" i="2" s="1"/>
  <c r="U186" i="2"/>
  <c r="V186" i="2" s="1"/>
  <c r="W186" i="2" s="1"/>
  <c r="X186" i="2" s="1"/>
  <c r="U147" i="2"/>
  <c r="V147" i="2" s="1"/>
  <c r="W147" i="2" s="1"/>
  <c r="X147" i="2" s="1"/>
  <c r="U71" i="2"/>
  <c r="V71" i="2" s="1"/>
  <c r="W71" i="2" s="1"/>
  <c r="X71" i="2" s="1"/>
  <c r="U199" i="2"/>
  <c r="V199" i="2" s="1"/>
  <c r="W199" i="2" s="1"/>
  <c r="X199" i="2" s="1"/>
  <c r="U31" i="2"/>
  <c r="V31" i="2" s="1"/>
  <c r="W31" i="2" s="1"/>
  <c r="X31" i="2" s="1"/>
  <c r="U13" i="2"/>
  <c r="V13" i="2" s="1"/>
  <c r="W13" i="2" s="1"/>
  <c r="X13" i="2" s="1"/>
  <c r="U93" i="2"/>
  <c r="V93" i="2" s="1"/>
  <c r="W93" i="2" s="1"/>
  <c r="X93" i="2" s="1"/>
  <c r="U44" i="2"/>
  <c r="V44" i="2" s="1"/>
  <c r="W44" i="2" s="1"/>
  <c r="X44" i="2" s="1"/>
  <c r="U161" i="2"/>
  <c r="V161" i="2" s="1"/>
  <c r="W161" i="2" s="1"/>
  <c r="X161" i="2" s="1"/>
  <c r="U215" i="2"/>
  <c r="V215" i="2" s="1"/>
  <c r="W215" i="2" s="1"/>
  <c r="X215" i="2" s="1"/>
  <c r="U5" i="2"/>
  <c r="V5" i="2" s="1"/>
  <c r="W5" i="2" s="1"/>
  <c r="X5" i="2" s="1"/>
  <c r="U110" i="2"/>
  <c r="V110" i="2" s="1"/>
  <c r="W110" i="2" s="1"/>
  <c r="X110" i="2" s="1"/>
  <c r="U178" i="2"/>
  <c r="V178" i="2" s="1"/>
  <c r="W178" i="2" s="1"/>
  <c r="X178" i="2" s="1"/>
  <c r="U61" i="2"/>
  <c r="V61" i="2" s="1"/>
  <c r="W61" i="2" s="1"/>
  <c r="X61" i="2" s="1"/>
  <c r="U108" i="2"/>
  <c r="V108" i="2" s="1"/>
  <c r="W108" i="2" s="1"/>
  <c r="X108" i="2" s="1"/>
  <c r="U205" i="2"/>
  <c r="V205" i="2" s="1"/>
  <c r="W205" i="2" s="1"/>
  <c r="X205" i="2" s="1"/>
  <c r="U88" i="2"/>
  <c r="V88" i="2" s="1"/>
  <c r="W88" i="2" s="1"/>
  <c r="X88" i="2" s="1"/>
  <c r="U155" i="2"/>
  <c r="V155" i="2" s="1"/>
  <c r="W155" i="2" s="1"/>
  <c r="X155" i="2" s="1"/>
  <c r="U227" i="2"/>
  <c r="V227" i="2" s="1"/>
  <c r="W227" i="2" s="1"/>
  <c r="X227" i="2" s="1"/>
  <c r="U216" i="2"/>
  <c r="V216" i="2" s="1"/>
  <c r="W216" i="2" s="1"/>
  <c r="X216" i="2" s="1"/>
  <c r="U208" i="2"/>
  <c r="V208" i="2" s="1"/>
  <c r="W208" i="2" s="1"/>
  <c r="X208" i="2" s="1"/>
  <c r="U60" i="2"/>
  <c r="V60" i="2" s="1"/>
  <c r="W60" i="2" s="1"/>
  <c r="X60" i="2" s="1"/>
  <c r="U204" i="2"/>
  <c r="V204" i="2" s="1"/>
  <c r="W204" i="2" s="1"/>
  <c r="X204" i="2" s="1"/>
  <c r="U57" i="2"/>
  <c r="V57" i="2" s="1"/>
  <c r="W57" i="2" s="1"/>
  <c r="X57" i="2" s="1"/>
  <c r="U189" i="2"/>
  <c r="V189" i="2" s="1"/>
  <c r="W189" i="2" s="1"/>
  <c r="X189" i="2" s="1"/>
  <c r="U97" i="2"/>
  <c r="V97" i="2" s="1"/>
  <c r="W97" i="2" s="1"/>
  <c r="X97" i="2" s="1"/>
  <c r="U112" i="2"/>
  <c r="V112" i="2" s="1"/>
  <c r="W112" i="2" s="1"/>
  <c r="X112" i="2" s="1"/>
  <c r="U207" i="2"/>
  <c r="V207" i="2" s="1"/>
  <c r="W207" i="2" s="1"/>
  <c r="X207" i="2" s="1"/>
  <c r="U153" i="2"/>
  <c r="V153" i="2" s="1"/>
  <c r="W153" i="2" s="1"/>
  <c r="X153" i="2" s="1"/>
  <c r="U106" i="2"/>
  <c r="V106" i="2" s="1"/>
  <c r="W106" i="2" s="1"/>
  <c r="X106" i="2" s="1"/>
  <c r="U135" i="2"/>
  <c r="V135" i="2" s="1"/>
  <c r="W135" i="2" s="1"/>
  <c r="X135" i="2" s="1"/>
  <c r="U109" i="2"/>
  <c r="V109" i="2" s="1"/>
  <c r="W109" i="2" s="1"/>
  <c r="X109" i="2" s="1"/>
  <c r="U168" i="2"/>
  <c r="V168" i="2" s="1"/>
  <c r="W168" i="2" s="1"/>
  <c r="X168" i="2" s="1"/>
  <c r="U224" i="2"/>
  <c r="V224" i="2" s="1"/>
  <c r="W224" i="2" s="1"/>
  <c r="X224" i="2" s="1"/>
  <c r="U132" i="2"/>
  <c r="V132" i="2" s="1"/>
  <c r="W132" i="2" s="1"/>
  <c r="X132" i="2" s="1"/>
  <c r="U56" i="2"/>
  <c r="V56" i="2" s="1"/>
  <c r="W56" i="2" s="1"/>
  <c r="X56" i="2" s="1"/>
  <c r="U138" i="2"/>
  <c r="V138" i="2" s="1"/>
  <c r="W138" i="2" s="1"/>
  <c r="X138" i="2" s="1"/>
  <c r="U180" i="2"/>
  <c r="V180" i="2" s="1"/>
  <c r="W180" i="2" s="1"/>
  <c r="X180" i="2" s="1"/>
  <c r="U23" i="2"/>
  <c r="V23" i="2" s="1"/>
  <c r="W23" i="2" s="1"/>
  <c r="X23" i="2" s="1"/>
  <c r="U101" i="2"/>
  <c r="V101" i="2" s="1"/>
  <c r="W101" i="2" s="1"/>
  <c r="X101" i="2" s="1"/>
  <c r="U220" i="2"/>
  <c r="V220" i="2" s="1"/>
  <c r="W220" i="2" s="1"/>
  <c r="X220" i="2" s="1"/>
  <c r="U12" i="2"/>
  <c r="V12" i="2" s="1"/>
  <c r="W12" i="2" s="1"/>
  <c r="X12" i="2" s="1"/>
  <c r="U36" i="2"/>
  <c r="V36" i="2" s="1"/>
  <c r="W36" i="2" s="1"/>
  <c r="X36" i="2" s="1"/>
  <c r="U105" i="2"/>
  <c r="V105" i="2" s="1"/>
  <c r="W105" i="2" s="1"/>
  <c r="X105" i="2" s="1"/>
  <c r="U69" i="2"/>
  <c r="V69" i="2" s="1"/>
  <c r="W69" i="2" s="1"/>
  <c r="X69" i="2" s="1"/>
  <c r="U55" i="2"/>
  <c r="V55" i="2" s="1"/>
  <c r="W55" i="2" s="1"/>
  <c r="X55" i="2" s="1"/>
  <c r="U78" i="2"/>
  <c r="V78" i="2" s="1"/>
  <c r="W78" i="2" s="1"/>
  <c r="X78" i="2" s="1"/>
  <c r="U228" i="2"/>
  <c r="V228" i="2" s="1"/>
  <c r="W228" i="2" s="1"/>
  <c r="X228" i="2" s="1"/>
  <c r="U35" i="2"/>
  <c r="V35" i="2" s="1"/>
  <c r="W35" i="2" s="1"/>
  <c r="X35" i="2" s="1"/>
  <c r="U151" i="2"/>
  <c r="V151" i="2" s="1"/>
  <c r="W151" i="2" s="1"/>
  <c r="X151" i="2" s="1"/>
  <c r="U15" i="2"/>
  <c r="V15" i="2" s="1"/>
  <c r="W15" i="2" s="1"/>
  <c r="X15" i="2" s="1"/>
  <c r="U3" i="2"/>
  <c r="V3" i="2" s="1"/>
  <c r="W3" i="2" s="1"/>
  <c r="X3" i="2" s="1"/>
  <c r="U130" i="2"/>
  <c r="V130" i="2" s="1"/>
  <c r="W130" i="2" s="1"/>
  <c r="X130" i="2" s="1"/>
  <c r="U170" i="2"/>
  <c r="V170" i="2" s="1"/>
  <c r="W170" i="2" s="1"/>
  <c r="X170" i="2" s="1"/>
  <c r="U53" i="2"/>
  <c r="V53" i="2" s="1"/>
  <c r="W53" i="2" s="1"/>
  <c r="X53" i="2" s="1"/>
  <c r="U73" i="2"/>
  <c r="V73" i="2" s="1"/>
  <c r="W73" i="2" s="1"/>
  <c r="X73" i="2" s="1"/>
  <c r="U172" i="2"/>
  <c r="V172" i="2" s="1"/>
  <c r="W172" i="2" s="1"/>
  <c r="X172" i="2" s="1"/>
  <c r="U134" i="2"/>
  <c r="V134" i="2" s="1"/>
  <c r="W134" i="2" s="1"/>
  <c r="X134" i="2" s="1"/>
  <c r="U209" i="2"/>
  <c r="V209" i="2" s="1"/>
  <c r="W209" i="2" s="1"/>
  <c r="X209" i="2" s="1"/>
  <c r="U96" i="2"/>
  <c r="V96" i="2" s="1"/>
  <c r="W96" i="2" s="1"/>
  <c r="X96" i="2" s="1"/>
  <c r="U75" i="2"/>
  <c r="V75" i="2" s="1"/>
  <c r="W75" i="2" s="1"/>
  <c r="X75" i="2" s="1"/>
  <c r="U70" i="2"/>
  <c r="V70" i="2" s="1"/>
  <c r="W70" i="2" s="1"/>
  <c r="X70" i="2" s="1"/>
  <c r="U203" i="2"/>
  <c r="V203" i="2" s="1"/>
  <c r="W203" i="2" s="1"/>
  <c r="X203" i="2" s="1"/>
  <c r="U150" i="2"/>
  <c r="V150" i="2" s="1"/>
  <c r="W150" i="2" s="1"/>
  <c r="X150" i="2" s="1"/>
  <c r="U190" i="2"/>
  <c r="V190" i="2" s="1"/>
  <c r="W190" i="2" s="1"/>
  <c r="X190" i="2" s="1"/>
  <c r="U21" i="2"/>
  <c r="V21" i="2" s="1"/>
  <c r="W21" i="2" s="1"/>
  <c r="X21" i="2" s="1"/>
  <c r="U85" i="2"/>
  <c r="V85" i="2" s="1"/>
  <c r="W85" i="2" s="1"/>
  <c r="X85" i="2" s="1"/>
  <c r="U154" i="2"/>
  <c r="V154" i="2" s="1"/>
  <c r="W154" i="2" s="1"/>
  <c r="X154" i="2" s="1"/>
  <c r="U76" i="2"/>
  <c r="V76" i="2" s="1"/>
  <c r="W76" i="2" s="1"/>
  <c r="X76" i="2" s="1"/>
  <c r="U192" i="2"/>
  <c r="V192" i="2" s="1"/>
  <c r="W192" i="2" s="1"/>
  <c r="X192" i="2" s="1"/>
  <c r="U51" i="2"/>
  <c r="V51" i="2" s="1"/>
  <c r="W51" i="2" s="1"/>
  <c r="X51" i="2" s="1"/>
  <c r="U173" i="2"/>
  <c r="V173" i="2" s="1"/>
  <c r="W173" i="2" s="1"/>
  <c r="X173" i="2" s="1"/>
  <c r="U114" i="2"/>
  <c r="V114" i="2" s="1"/>
  <c r="W114" i="2" s="1"/>
  <c r="X114" i="2" s="1"/>
  <c r="U104" i="2"/>
  <c r="V104" i="2" s="1"/>
  <c r="W104" i="2" s="1"/>
  <c r="X104" i="2" s="1"/>
  <c r="U46" i="2"/>
  <c r="V46" i="2" s="1"/>
  <c r="W46" i="2" s="1"/>
  <c r="X46" i="2" s="1"/>
  <c r="U145" i="2"/>
  <c r="V145" i="2" s="1"/>
  <c r="W145" i="2" s="1"/>
  <c r="X145" i="2" s="1"/>
  <c r="U160" i="2"/>
  <c r="V160" i="2" s="1"/>
  <c r="W160" i="2" s="1"/>
  <c r="X160" i="2" s="1"/>
  <c r="U38" i="2"/>
  <c r="V38" i="2" s="1"/>
  <c r="W38" i="2" s="1"/>
  <c r="X38" i="2" s="1"/>
  <c r="U123" i="2"/>
  <c r="V123" i="2" s="1"/>
  <c r="W123" i="2" s="1"/>
  <c r="X123" i="2" s="1"/>
  <c r="U200" i="2"/>
  <c r="V200" i="2" s="1"/>
  <c r="W200" i="2" s="1"/>
  <c r="X200" i="2" s="1"/>
  <c r="U124" i="2"/>
  <c r="V124" i="2" s="1"/>
  <c r="W124" i="2" s="1"/>
  <c r="X124" i="2" s="1"/>
  <c r="U84" i="2"/>
  <c r="V84" i="2" s="1"/>
  <c r="W84" i="2" s="1"/>
  <c r="X84" i="2" s="1"/>
  <c r="U182" i="2"/>
  <c r="V182" i="2" s="1"/>
  <c r="W182" i="2" s="1"/>
  <c r="X182" i="2" s="1"/>
  <c r="U122" i="2"/>
  <c r="V122" i="2" s="1"/>
  <c r="W122" i="2" s="1"/>
  <c r="X122" i="2" s="1"/>
  <c r="U34" i="2"/>
  <c r="V34" i="2" s="1"/>
  <c r="W34" i="2" s="1"/>
  <c r="X34" i="2" s="1"/>
  <c r="U81" i="2"/>
  <c r="V81" i="2" s="1"/>
  <c r="W81" i="2" s="1"/>
  <c r="X81" i="2" s="1"/>
  <c r="U86" i="2"/>
  <c r="V86" i="2" s="1"/>
  <c r="W86" i="2" s="1"/>
  <c r="X86" i="2" s="1"/>
  <c r="U16" i="2"/>
  <c r="V16" i="2" s="1"/>
  <c r="W16" i="2" s="1"/>
  <c r="X16" i="2" s="1"/>
  <c r="U179" i="2"/>
  <c r="V179" i="2" s="1"/>
  <c r="W179" i="2" s="1"/>
  <c r="X179" i="2" s="1"/>
  <c r="U223" i="2"/>
  <c r="V223" i="2" s="1"/>
  <c r="W223" i="2" s="1"/>
  <c r="X223" i="2" s="1"/>
  <c r="U64" i="2"/>
  <c r="V64" i="2" s="1"/>
  <c r="W64" i="2" s="1"/>
  <c r="X64" i="2" s="1"/>
  <c r="U25" i="2"/>
  <c r="V25" i="2" s="1"/>
  <c r="W25" i="2" s="1"/>
  <c r="X25" i="2" s="1"/>
  <c r="U22" i="2"/>
  <c r="V22" i="2" s="1"/>
  <c r="W22" i="2" s="1"/>
  <c r="X22" i="2" s="1"/>
  <c r="U107" i="2"/>
  <c r="V107" i="2" s="1"/>
  <c r="W107" i="2" s="1"/>
  <c r="X107" i="2" s="1"/>
  <c r="U213" i="2"/>
  <c r="V213" i="2" s="1"/>
  <c r="W213" i="2" s="1"/>
  <c r="X213" i="2" s="1"/>
  <c r="U29" i="2"/>
  <c r="V29" i="2" s="1"/>
  <c r="W29" i="2" s="1"/>
  <c r="X29" i="2" s="1"/>
  <c r="U146" i="2"/>
  <c r="V146" i="2" s="1"/>
  <c r="W146" i="2" s="1"/>
  <c r="X146" i="2" s="1"/>
  <c r="U20" i="2"/>
  <c r="V20" i="2" s="1"/>
  <c r="W20" i="2" s="1"/>
  <c r="X20" i="2" s="1"/>
  <c r="U206" i="2"/>
  <c r="V206" i="2" s="1"/>
  <c r="W206" i="2" s="1"/>
  <c r="X206" i="2" s="1"/>
  <c r="U184" i="2"/>
  <c r="V184" i="2" s="1"/>
  <c r="W184" i="2" s="1"/>
  <c r="X184" i="2" s="1"/>
  <c r="U164" i="2"/>
  <c r="V164" i="2" s="1"/>
  <c r="W164" i="2" s="1"/>
  <c r="X164" i="2" s="1"/>
  <c r="U50" i="2"/>
  <c r="V50" i="2" s="1"/>
  <c r="W50" i="2" s="1"/>
  <c r="X50" i="2" s="1"/>
  <c r="U212" i="2"/>
  <c r="V212" i="2" s="1"/>
  <c r="W212" i="2" s="1"/>
  <c r="X212" i="2" s="1"/>
  <c r="U42" i="2"/>
  <c r="V42" i="2" s="1"/>
  <c r="W42" i="2" s="1"/>
  <c r="X42" i="2" s="1"/>
  <c r="U111" i="2"/>
  <c r="V111" i="2" s="1"/>
  <c r="W111" i="2" s="1"/>
  <c r="X111" i="2" s="1"/>
  <c r="U90" i="2"/>
  <c r="V90" i="2" s="1"/>
  <c r="W90" i="2" s="1"/>
  <c r="X90" i="2" s="1"/>
  <c r="U59" i="2"/>
  <c r="V59" i="2" s="1"/>
  <c r="W59" i="2" s="1"/>
  <c r="X59" i="2" s="1"/>
  <c r="U18" i="2"/>
  <c r="V18" i="2" s="1"/>
  <c r="W18" i="2" s="1"/>
  <c r="X18" i="2" s="1"/>
  <c r="U115" i="2"/>
  <c r="V115" i="2" s="1"/>
  <c r="W115" i="2" s="1"/>
  <c r="X115" i="2" s="1"/>
  <c r="U10" i="2"/>
  <c r="V10" i="2" s="1"/>
  <c r="W10" i="2" s="1"/>
  <c r="X10" i="2" s="1"/>
  <c r="U214" i="2"/>
  <c r="V214" i="2" s="1"/>
  <c r="W214" i="2" s="1"/>
  <c r="X214" i="2" s="1"/>
  <c r="U143" i="2"/>
  <c r="V143" i="2" s="1"/>
  <c r="W143" i="2" s="1"/>
  <c r="X143" i="2" s="1"/>
  <c r="U65" i="2"/>
  <c r="V65" i="2" s="1"/>
  <c r="W65" i="2" s="1"/>
  <c r="X65" i="2" s="1"/>
  <c r="U166" i="2"/>
  <c r="V166" i="2" s="1"/>
  <c r="W166" i="2" s="1"/>
  <c r="X166" i="2" s="1"/>
  <c r="U100" i="2"/>
  <c r="V100" i="2" s="1"/>
  <c r="W100" i="2" s="1"/>
  <c r="X100" i="2" s="1"/>
  <c r="U221" i="2"/>
  <c r="V221" i="2" s="1"/>
  <c r="W221" i="2" s="1"/>
  <c r="X221" i="2" s="1"/>
  <c r="U67" i="2"/>
  <c r="V67" i="2" s="1"/>
  <c r="W67" i="2" s="1"/>
  <c r="X67" i="2" s="1"/>
  <c r="U133" i="2"/>
  <c r="V133" i="2" s="1"/>
  <c r="W133" i="2" s="1"/>
  <c r="X133" i="2" s="1"/>
  <c r="U28" i="2"/>
  <c r="V28" i="2" s="1"/>
  <c r="W28" i="2" s="1"/>
  <c r="X28" i="2" s="1"/>
  <c r="U202" i="2"/>
  <c r="V202" i="2" s="1"/>
  <c r="W202" i="2" s="1"/>
  <c r="X202" i="2" s="1"/>
  <c r="U140" i="2"/>
  <c r="V140" i="2" s="1"/>
  <c r="W140" i="2" s="1"/>
  <c r="X140" i="2" s="1"/>
  <c r="U92" i="2"/>
  <c r="V92" i="2" s="1"/>
  <c r="W92" i="2" s="1"/>
  <c r="X92" i="2" s="1"/>
  <c r="U83" i="2"/>
  <c r="V83" i="2" s="1"/>
  <c r="W83" i="2" s="1"/>
  <c r="X83" i="2" s="1"/>
  <c r="U14" i="2"/>
  <c r="V14" i="2" s="1"/>
  <c r="W14" i="2" s="1"/>
  <c r="X14" i="2" s="1"/>
  <c r="U175" i="2"/>
  <c r="V175" i="2" s="1"/>
  <c r="W175" i="2" s="1"/>
  <c r="X175" i="2" s="1"/>
  <c r="U72" i="2"/>
  <c r="V72" i="2" s="1"/>
  <c r="W72" i="2" s="1"/>
  <c r="X72" i="2" s="1"/>
  <c r="U8" i="2"/>
  <c r="V8" i="2" s="1"/>
  <c r="W8" i="2" s="1"/>
  <c r="X8" i="2" s="1"/>
  <c r="U52" i="2"/>
  <c r="V52" i="2" s="1"/>
  <c r="W52" i="2" s="1"/>
  <c r="X52" i="2" s="1"/>
  <c r="U219" i="2"/>
  <c r="V219" i="2" s="1"/>
  <c r="W219" i="2" s="1"/>
  <c r="X219" i="2" s="1"/>
  <c r="U144" i="2"/>
  <c r="V144" i="2" s="1"/>
  <c r="W144" i="2" s="1"/>
  <c r="X144" i="2" s="1"/>
  <c r="U126" i="2"/>
  <c r="V126" i="2" s="1"/>
  <c r="W126" i="2" s="1"/>
  <c r="X126" i="2" s="1"/>
  <c r="U33" i="2"/>
  <c r="V33" i="2" s="1"/>
  <c r="W33" i="2" s="1"/>
  <c r="X33" i="2" s="1"/>
  <c r="U152" i="2"/>
  <c r="V152" i="2" s="1"/>
  <c r="W152" i="2" s="1"/>
  <c r="X152" i="2" s="1"/>
  <c r="U141" i="2"/>
  <c r="V141" i="2" s="1"/>
  <c r="W141" i="2" s="1"/>
  <c r="X141" i="2" s="1"/>
  <c r="U142" i="2"/>
  <c r="V142" i="2" s="1"/>
  <c r="W142" i="2" s="1"/>
  <c r="X142" i="2" s="1"/>
  <c r="U113" i="2"/>
  <c r="V113" i="2" s="1"/>
  <c r="W113" i="2" s="1"/>
  <c r="X113" i="2" s="1"/>
  <c r="U137" i="2"/>
  <c r="V137" i="2" s="1"/>
  <c r="W137" i="2" s="1"/>
  <c r="X137" i="2" s="1"/>
  <c r="U226" i="2"/>
  <c r="V226" i="2" s="1"/>
  <c r="W226" i="2" s="1"/>
  <c r="X226" i="2" s="1"/>
  <c r="U39" i="2"/>
  <c r="V39" i="2" s="1"/>
  <c r="W39" i="2" s="1"/>
  <c r="X39" i="2" s="1"/>
  <c r="U183" i="2"/>
  <c r="V183" i="2" s="1"/>
  <c r="W183" i="2" s="1"/>
  <c r="X183" i="2" s="1"/>
  <c r="U194" i="2"/>
  <c r="V194" i="2" s="1"/>
  <c r="W194" i="2" s="1"/>
  <c r="X194" i="2" s="1"/>
  <c r="U63" i="2"/>
  <c r="V63" i="2" s="1"/>
  <c r="W63" i="2" s="1"/>
  <c r="X63" i="2" s="1"/>
  <c r="U169" i="2"/>
  <c r="V169" i="2" s="1"/>
  <c r="W169" i="2" s="1"/>
  <c r="X169" i="2" s="1"/>
  <c r="U218" i="2"/>
  <c r="V218" i="2" s="1"/>
  <c r="W218" i="2" s="1"/>
  <c r="X218" i="2" s="1"/>
  <c r="U121" i="2"/>
  <c r="V121" i="2" s="1"/>
  <c r="W121" i="2" s="1"/>
  <c r="X121" i="2" s="1"/>
  <c r="U43" i="2"/>
  <c r="V43" i="2" s="1"/>
  <c r="W43" i="2" s="1"/>
  <c r="X43" i="2" s="1"/>
  <c r="U119" i="2"/>
  <c r="V119" i="2" s="1"/>
  <c r="W119" i="2" s="1"/>
  <c r="X119" i="2" s="1"/>
  <c r="U217" i="2"/>
  <c r="V217" i="2" s="1"/>
  <c r="W217" i="2" s="1"/>
  <c r="X217" i="2" s="1"/>
  <c r="U195" i="2"/>
  <c r="V195" i="2" s="1"/>
  <c r="W195" i="2" s="1"/>
  <c r="X195" i="2" s="1"/>
  <c r="U58" i="2"/>
  <c r="V58" i="2" s="1"/>
  <c r="W58" i="2" s="1"/>
  <c r="X58" i="2" s="1"/>
  <c r="U77" i="2"/>
  <c r="V77" i="2" s="1"/>
  <c r="W77" i="2" s="1"/>
  <c r="X77" i="2" s="1"/>
  <c r="U139" i="2"/>
  <c r="V139" i="2" s="1"/>
  <c r="W139" i="2" s="1"/>
  <c r="X139" i="2" s="1"/>
  <c r="U32" i="2"/>
  <c r="V32" i="2" s="1"/>
  <c r="W32" i="2" s="1"/>
  <c r="X32" i="2" s="1"/>
  <c r="U87" i="2"/>
  <c r="V87" i="2" s="1"/>
  <c r="W87" i="2" s="1"/>
  <c r="X87" i="2" s="1"/>
  <c r="U176" i="2"/>
  <c r="V176" i="2" s="1"/>
  <c r="W176" i="2" s="1"/>
  <c r="X176" i="2" s="1"/>
  <c r="U66" i="2"/>
  <c r="V66" i="2" s="1"/>
  <c r="W66" i="2" s="1"/>
  <c r="X66" i="2" s="1"/>
  <c r="U136" i="2"/>
  <c r="V136" i="2" s="1"/>
  <c r="W136" i="2" s="1"/>
  <c r="X136" i="2" s="1"/>
  <c r="U6" i="2"/>
  <c r="V6" i="2" s="1"/>
  <c r="W6" i="2" s="1"/>
  <c r="X6" i="2" s="1"/>
  <c r="U82" i="2"/>
  <c r="V82" i="2" s="1"/>
  <c r="W82" i="2" s="1"/>
  <c r="X82" i="2" s="1"/>
  <c r="U54" i="2"/>
  <c r="V54" i="2" s="1"/>
  <c r="W54" i="2" s="1"/>
  <c r="X54" i="2" s="1"/>
  <c r="U17" i="2"/>
  <c r="V17" i="2" s="1"/>
  <c r="W17" i="2" s="1"/>
  <c r="X17" i="2" s="1"/>
  <c r="U74" i="2"/>
  <c r="V74" i="2" s="1"/>
  <c r="W74" i="2" s="1"/>
  <c r="X74" i="2" s="1"/>
  <c r="U26" i="2"/>
  <c r="V26" i="2" s="1"/>
  <c r="W26" i="2" s="1"/>
  <c r="X26" i="2" s="1"/>
  <c r="U198" i="2"/>
  <c r="V198" i="2" s="1"/>
  <c r="W198" i="2" s="1"/>
  <c r="X198" i="2" s="1"/>
  <c r="U210" i="2"/>
  <c r="V210" i="2" s="1"/>
  <c r="W210" i="2" s="1"/>
  <c r="X210" i="2" s="1"/>
  <c r="U158" i="2"/>
  <c r="V158" i="2" s="1"/>
  <c r="W158" i="2" s="1"/>
  <c r="X158" i="2" s="1"/>
  <c r="U62" i="2"/>
  <c r="V62" i="2" s="1"/>
  <c r="W62" i="2" s="1"/>
  <c r="X62" i="2" s="1"/>
  <c r="U193" i="2"/>
  <c r="V193" i="2" s="1"/>
  <c r="W193" i="2" s="1"/>
  <c r="X193" i="2" s="1"/>
  <c r="U19" i="2"/>
  <c r="V19" i="2" s="1"/>
  <c r="W19" i="2" s="1"/>
  <c r="X19" i="2" s="1"/>
  <c r="U191" i="2"/>
  <c r="V191" i="2" s="1"/>
  <c r="W191" i="2" s="1"/>
  <c r="X191" i="2" s="1"/>
  <c r="U89" i="2"/>
  <c r="V89" i="2" s="1"/>
  <c r="W89" i="2" s="1"/>
  <c r="X89" i="2" s="1"/>
  <c r="U129" i="2"/>
  <c r="V129" i="2" s="1"/>
  <c r="W129" i="2" s="1"/>
  <c r="X129" i="2" s="1"/>
  <c r="U41" i="2"/>
  <c r="V41" i="2" s="1"/>
  <c r="W41" i="2" s="1"/>
  <c r="X41" i="2" s="1"/>
  <c r="U37" i="2"/>
  <c r="V37" i="2" s="1"/>
  <c r="W37" i="2" s="1"/>
  <c r="X37" i="2" s="1"/>
  <c r="U91" i="2"/>
  <c r="V91" i="2" s="1"/>
  <c r="W91" i="2" s="1"/>
  <c r="X91" i="2" s="1"/>
  <c r="U148" i="2"/>
  <c r="V148" i="2" s="1"/>
  <c r="W148" i="2" s="1"/>
  <c r="X148" i="2" s="1"/>
  <c r="U9" i="2"/>
  <c r="V9" i="2" s="1"/>
  <c r="W9" i="2" s="1"/>
  <c r="X9" i="2" s="1"/>
  <c r="U187" i="2"/>
  <c r="V187" i="2" s="1"/>
  <c r="W187" i="2" s="1"/>
  <c r="X187" i="2" s="1"/>
  <c r="U49" i="2"/>
  <c r="V49" i="2" s="1"/>
  <c r="W49" i="2" s="1"/>
  <c r="X49" i="2" s="1"/>
  <c r="U159" i="2"/>
  <c r="V159" i="2" s="1"/>
  <c r="W159" i="2" s="1"/>
  <c r="X159" i="2" s="1"/>
  <c r="U162" i="2"/>
  <c r="V162" i="2" s="1"/>
  <c r="W162" i="2" s="1"/>
  <c r="X162" i="2" s="1"/>
  <c r="U40" i="2"/>
  <c r="V40" i="2" s="1"/>
  <c r="W40" i="2" s="1"/>
  <c r="X40" i="2" s="1"/>
  <c r="U211" i="2"/>
  <c r="V211" i="2" s="1"/>
  <c r="W211" i="2" s="1"/>
  <c r="X211" i="2" s="1"/>
  <c r="U188" i="2"/>
  <c r="V188" i="2" s="1"/>
  <c r="W188" i="2" s="1"/>
  <c r="X188" i="2" s="1"/>
  <c r="U117" i="2"/>
  <c r="V117" i="2" s="1"/>
  <c r="W117" i="2" s="1"/>
  <c r="X117" i="2" s="1"/>
  <c r="U149" i="2"/>
  <c r="V149" i="2" s="1"/>
  <c r="W149" i="2" s="1"/>
  <c r="X149" i="2" s="1"/>
  <c r="U99" i="2"/>
  <c r="V99" i="2" s="1"/>
  <c r="W99" i="2" s="1"/>
  <c r="X99" i="2" s="1"/>
  <c r="U47" i="2"/>
  <c r="V47" i="2" s="1"/>
  <c r="W47" i="2" s="1"/>
  <c r="X47" i="2" s="1"/>
  <c r="U181" i="2"/>
  <c r="V181" i="2" s="1"/>
  <c r="W181" i="2" s="1"/>
  <c r="X181" i="2" s="1"/>
  <c r="U120" i="2"/>
  <c r="V120" i="2" s="1"/>
  <c r="W120" i="2" s="1"/>
  <c r="X120" i="2" s="1"/>
  <c r="U48" i="2"/>
  <c r="V48" i="2" s="1"/>
  <c r="W48" i="2" s="1"/>
  <c r="X48" i="2" s="1"/>
  <c r="U116" i="2"/>
  <c r="V116" i="2" s="1"/>
  <c r="W116" i="2" s="1"/>
  <c r="X116" i="2" s="1"/>
  <c r="U94" i="2"/>
  <c r="V94" i="2" s="1"/>
  <c r="W94" i="2" s="1"/>
  <c r="X94" i="2" s="1"/>
  <c r="U201" i="2"/>
  <c r="V201" i="2" s="1"/>
  <c r="W201" i="2" s="1"/>
  <c r="X201" i="2" s="1"/>
  <c r="U185" i="2"/>
  <c r="V185" i="2" s="1"/>
  <c r="W185" i="2" s="1"/>
  <c r="X185" i="2" s="1"/>
  <c r="U157" i="2"/>
  <c r="V157" i="2" s="1"/>
  <c r="W157" i="2" s="1"/>
  <c r="X157" i="2" s="1"/>
  <c r="U95" i="2"/>
  <c r="V95" i="2" s="1"/>
  <c r="W95" i="2" s="1"/>
  <c r="X95" i="2" s="1"/>
  <c r="U197" i="2"/>
  <c r="V197" i="2" s="1"/>
  <c r="W197" i="2" s="1"/>
  <c r="X197" i="2" s="1"/>
  <c r="U174" i="2"/>
  <c r="V174" i="2" s="1"/>
  <c r="W174" i="2" s="1"/>
  <c r="X174" i="2" s="1"/>
  <c r="U131" i="2"/>
  <c r="V131" i="2" s="1"/>
  <c r="W131" i="2" s="1"/>
  <c r="X131" i="2" s="1"/>
  <c r="U128" i="2"/>
  <c r="V128" i="2" s="1"/>
  <c r="W128" i="2" s="1"/>
  <c r="X128" i="2" s="1"/>
  <c r="U30" i="2"/>
  <c r="V30" i="2" s="1"/>
  <c r="W30" i="2" s="1"/>
  <c r="X30" i="2" s="1"/>
  <c r="U118" i="2"/>
  <c r="V118" i="2" s="1"/>
  <c r="W118" i="2" s="1"/>
  <c r="X118" i="2" s="1"/>
  <c r="U7" i="2"/>
  <c r="V7" i="2" s="1"/>
  <c r="W7" i="2" s="1"/>
  <c r="X7" i="2" s="1"/>
</calcChain>
</file>

<file path=xl/sharedStrings.xml><?xml version="1.0" encoding="utf-8"?>
<sst xmlns="http://schemas.openxmlformats.org/spreadsheetml/2006/main" count="3092" uniqueCount="260">
  <si>
    <t>LPO DATE</t>
  </si>
  <si>
    <t>Invoice no</t>
  </si>
  <si>
    <t>Value</t>
  </si>
  <si>
    <t>Nairobi</t>
  </si>
  <si>
    <t>Chandarana</t>
  </si>
  <si>
    <t>Cleanshelf</t>
  </si>
  <si>
    <t>Defco</t>
  </si>
  <si>
    <t>Eastmatt</t>
  </si>
  <si>
    <t>Carrefour</t>
  </si>
  <si>
    <t>Quickmart</t>
  </si>
  <si>
    <t>Onn the way</t>
  </si>
  <si>
    <t>Naivas</t>
  </si>
  <si>
    <t>A-One</t>
  </si>
  <si>
    <t>Powerstar</t>
  </si>
  <si>
    <t>Onn The Way</t>
  </si>
  <si>
    <t>Leestar</t>
  </si>
  <si>
    <t>Kassmatt</t>
  </si>
  <si>
    <t>Mathai</t>
  </si>
  <si>
    <t>Game</t>
  </si>
  <si>
    <t>Chandarana Mobil</t>
  </si>
  <si>
    <t>Chandarana Signature</t>
  </si>
  <si>
    <t>Chandarana Riverside</t>
  </si>
  <si>
    <t>Naivas Maiyan Mall</t>
  </si>
  <si>
    <t>Naivas Thika Ananas</t>
  </si>
  <si>
    <t>Chandarana Lavington</t>
  </si>
  <si>
    <t>Carrefour Two Rivers</t>
  </si>
  <si>
    <t>Naivas Likoni</t>
  </si>
  <si>
    <t>Chandarana Karen</t>
  </si>
  <si>
    <t>Chandarana Diamond</t>
  </si>
  <si>
    <t>Chandarana Yaya</t>
  </si>
  <si>
    <t>Chandarana Well</t>
  </si>
  <si>
    <t>Chandarana Airport Center</t>
  </si>
  <si>
    <t>Chandarana Adlife</t>
  </si>
  <si>
    <t>Chandarana Abc</t>
  </si>
  <si>
    <t>Chandarana Roselyn</t>
  </si>
  <si>
    <t>Chandarana Ridgeways</t>
  </si>
  <si>
    <t>Chandarana Ngara</t>
  </si>
  <si>
    <t>Cleanshelf Kiambu</t>
  </si>
  <si>
    <t>Chandarana New Muthaiga</t>
  </si>
  <si>
    <t>Naivas South C</t>
  </si>
  <si>
    <t>Naivas Mountain View</t>
  </si>
  <si>
    <t>Naivas Ngong Town 2</t>
  </si>
  <si>
    <t>Quickmart Ruiru</t>
  </si>
  <si>
    <t>Quickmart Waiyaki</t>
  </si>
  <si>
    <t>Quickmart Buruburu</t>
  </si>
  <si>
    <t>Quickmart Roysambu</t>
  </si>
  <si>
    <t>Quickmart Milele</t>
  </si>
  <si>
    <t>Quickmart Otc</t>
  </si>
  <si>
    <t>Quickmart Tom Mboya</t>
  </si>
  <si>
    <t>Naivas Nyali</t>
  </si>
  <si>
    <t>Naivas Kilifi</t>
  </si>
  <si>
    <t>Naivas Mwembe</t>
  </si>
  <si>
    <t>Naivas Greenspan</t>
  </si>
  <si>
    <t>Chandarana Rhapta</t>
  </si>
  <si>
    <t>A-One Mombasa</t>
  </si>
  <si>
    <t>Quickmart Jipange</t>
  </si>
  <si>
    <t>Quickmart Westlands</t>
  </si>
  <si>
    <t>Quickmart Mtwapa Express</t>
  </si>
  <si>
    <t>Quickmart Bandari</t>
  </si>
  <si>
    <t>Chandarana Nyali</t>
  </si>
  <si>
    <t>Chandarana Buffalo</t>
  </si>
  <si>
    <t>Naivas Westside</t>
  </si>
  <si>
    <t>Chandarana Nakuru</t>
  </si>
  <si>
    <t>Carrefour Trm</t>
  </si>
  <si>
    <t>Carrefour Westgate</t>
  </si>
  <si>
    <t>Carrefour Junction</t>
  </si>
  <si>
    <t>Carrefour Karen</t>
  </si>
  <si>
    <t>Carrefour Garden City</t>
  </si>
  <si>
    <t>Carrefour Sarit</t>
  </si>
  <si>
    <t>Carrefour Galleria</t>
  </si>
  <si>
    <t>Carrefour Village</t>
  </si>
  <si>
    <t>Carrefour Mega</t>
  </si>
  <si>
    <t>Carrefour Nextgen</t>
  </si>
  <si>
    <t>Powerstar Jambo</t>
  </si>
  <si>
    <t>Powerstar Hyper</t>
  </si>
  <si>
    <t>Carrefour Diani</t>
  </si>
  <si>
    <t>Carrefour Nyali</t>
  </si>
  <si>
    <t>Naivas Hazina</t>
  </si>
  <si>
    <t>Naivas Homeground</t>
  </si>
  <si>
    <t>Naivas Spur Mall</t>
  </si>
  <si>
    <t>Naivas Kilimani</t>
  </si>
  <si>
    <t>Naivas Mountain Mall</t>
  </si>
  <si>
    <t>Naivas Ukunda</t>
  </si>
  <si>
    <t>Cleanshelf Kikuyu</t>
  </si>
  <si>
    <t>Naivas Kitengela Mall</t>
  </si>
  <si>
    <t>Naivas Gateway</t>
  </si>
  <si>
    <t>Naivas Capital C</t>
  </si>
  <si>
    <t>Onn The Way Parklands</t>
  </si>
  <si>
    <t>Naivas Kubwa</t>
  </si>
  <si>
    <t>Naivas Moi Avenue</t>
  </si>
  <si>
    <t>Quickmart Eld</t>
  </si>
  <si>
    <t>Naivas Buruburu</t>
  </si>
  <si>
    <t>Quickmart Eastern By Pass 2</t>
  </si>
  <si>
    <t>Quickmart Fedha</t>
  </si>
  <si>
    <t>Quickmart Donholm</t>
  </si>
  <si>
    <t>Chandarana Nanyuki</t>
  </si>
  <si>
    <t>Quickmart Ruaka</t>
  </si>
  <si>
    <t>Quickmart Kahawa Sukari</t>
  </si>
  <si>
    <t>Quickmart Cross Road Karen</t>
  </si>
  <si>
    <t>Naivas Utawala</t>
  </si>
  <si>
    <t>Quickmart Ruai</t>
  </si>
  <si>
    <t>Quickmart Kiambu Rd</t>
  </si>
  <si>
    <t>Carrefour Kilimani</t>
  </si>
  <si>
    <t>Naivas Umoja</t>
  </si>
  <si>
    <t>Naivas Prestige</t>
  </si>
  <si>
    <t>Quickmart Mfangano</t>
  </si>
  <si>
    <t>Quickmart Kitengela</t>
  </si>
  <si>
    <t>Quickmart Mayfair</t>
  </si>
  <si>
    <t>Quickmart Highway Mlolongo</t>
  </si>
  <si>
    <t>Naivas Hq</t>
  </si>
  <si>
    <t>Naivas Zion</t>
  </si>
  <si>
    <t>Naivas Machakos Super C</t>
  </si>
  <si>
    <t>Quickmart Tmall</t>
  </si>
  <si>
    <t>Quickmart Embakassi</t>
  </si>
  <si>
    <t>Quickmart Chaka</t>
  </si>
  <si>
    <t>Naivas Aga Khan</t>
  </si>
  <si>
    <t>Leestar Ruiru</t>
  </si>
  <si>
    <t>Quickmart Kondele</t>
  </si>
  <si>
    <t>Naivas Greenhouse</t>
  </si>
  <si>
    <t>Naivas Ruaraka</t>
  </si>
  <si>
    <t>Powerstar Zimmerman</t>
  </si>
  <si>
    <t>Powerstar Kasarani</t>
  </si>
  <si>
    <t>Cleanshelf Ruaka</t>
  </si>
  <si>
    <t>Naivas Langata</t>
  </si>
  <si>
    <t>Naivas Express Embakassi</t>
  </si>
  <si>
    <t>Defco Langata</t>
  </si>
  <si>
    <t>Quickmart Kahawa West</t>
  </si>
  <si>
    <t>Quickmart Outering</t>
  </si>
  <si>
    <t>Quickmart Utawala Main</t>
  </si>
  <si>
    <t>Quickmart Pipeline</t>
  </si>
  <si>
    <t>Quickmart Easternbypass 1</t>
  </si>
  <si>
    <t>Defco Memorial</t>
  </si>
  <si>
    <t>Quickmart Mombasa Rd</t>
  </si>
  <si>
    <t>Quickmart Kiserian</t>
  </si>
  <si>
    <t>Quickmart Pioneer</t>
  </si>
  <si>
    <t>Naivas Imara Daima</t>
  </si>
  <si>
    <t>Naivas Westlands</t>
  </si>
  <si>
    <t>Naivas Muindi Mbingu</t>
  </si>
  <si>
    <t>Naivas Bamburi</t>
  </si>
  <si>
    <t>Quickmart Rongai Expresss</t>
  </si>
  <si>
    <t>Carrefour Southfield</t>
  </si>
  <si>
    <t>Naivas Dev House</t>
  </si>
  <si>
    <t>Naivas Waterfront</t>
  </si>
  <si>
    <t>Defco Mab</t>
  </si>
  <si>
    <t>Cleanshelf Wendani</t>
  </si>
  <si>
    <t>Naivas Katani Rd</t>
  </si>
  <si>
    <t>Naivas Githurai</t>
  </si>
  <si>
    <t>Naivas Nakuru Super C</t>
  </si>
  <si>
    <t>Kassmatt Jumbo</t>
  </si>
  <si>
    <t>Naivas Bungoma</t>
  </si>
  <si>
    <t>Carrefour Kisumu United</t>
  </si>
  <si>
    <t>Quickmart Nakuru</t>
  </si>
  <si>
    <t>Chandarana Diani</t>
  </si>
  <si>
    <t>Quickmart Lavington</t>
  </si>
  <si>
    <t>Quickmart Kericho</t>
  </si>
  <si>
    <t>Naivas Ciata</t>
  </si>
  <si>
    <t>Naivas Nyeri</t>
  </si>
  <si>
    <t>Kassmatt Thika</t>
  </si>
  <si>
    <t>Naivas Malindi</t>
  </si>
  <si>
    <t>Naivas Kisumu Simba</t>
  </si>
  <si>
    <t>Naivas Limuru</t>
  </si>
  <si>
    <t>Naivas Lifestyle</t>
  </si>
  <si>
    <t>Quickmart Machakos Express</t>
  </si>
  <si>
    <t>Quickmart Kilimani</t>
  </si>
  <si>
    <t>Naivas Kasarani</t>
  </si>
  <si>
    <t>Quickmart Rongai Main</t>
  </si>
  <si>
    <t>Cleanshelf Langata</t>
  </si>
  <si>
    <t>Naivas Thika Town</t>
  </si>
  <si>
    <t>Onn The Way Muthaiga</t>
  </si>
  <si>
    <t>Naivas Midtown</t>
  </si>
  <si>
    <t>Naivas Narok</t>
  </si>
  <si>
    <t>Chandarana Highridge</t>
  </si>
  <si>
    <t>Cleanshelf Freshmarket</t>
  </si>
  <si>
    <t>Chandarana Airport</t>
  </si>
  <si>
    <t>Naivas Embu</t>
  </si>
  <si>
    <t>Naivas Tassia</t>
  </si>
  <si>
    <t>Cleanshelf Limuru</t>
  </si>
  <si>
    <t>Quickmart Mtwapa Mall</t>
  </si>
  <si>
    <t>Quickmart Nanyuki</t>
  </si>
  <si>
    <t>Quickmart Kitui</t>
  </si>
  <si>
    <t>Naivas Kapsabet</t>
  </si>
  <si>
    <t>Naivas Eld Referal</t>
  </si>
  <si>
    <t>Naivas Kisumu Mega</t>
  </si>
  <si>
    <t>Naivas Kahawa West</t>
  </si>
  <si>
    <t>Cleanshelf Hq</t>
  </si>
  <si>
    <t>Naivas Juja City</t>
  </si>
  <si>
    <t>Naivas Embu Paerl</t>
  </si>
  <si>
    <t>Quickmart Chania</t>
  </si>
  <si>
    <t>Leestar Express</t>
  </si>
  <si>
    <t>Quickmart Machakos Pioneer</t>
  </si>
  <si>
    <t>Naivas Lavington Curve</t>
  </si>
  <si>
    <t>Powerstar Express</t>
  </si>
  <si>
    <t>Leestar Makongeni</t>
  </si>
  <si>
    <t>Quickmart Kakamega</t>
  </si>
  <si>
    <t>Chandarana Eld</t>
  </si>
  <si>
    <t>Powerstar Kikuyu</t>
  </si>
  <si>
    <t>Quickmart Kisii</t>
  </si>
  <si>
    <t>Quickmart Kikuyu</t>
  </si>
  <si>
    <t>Cleanshelf Nakuru</t>
  </si>
  <si>
    <t>Naivas Machakos</t>
  </si>
  <si>
    <t>Naivas Eastern By Pass</t>
  </si>
  <si>
    <t>Naivas Kisumu</t>
  </si>
  <si>
    <t>Chandarana Westend</t>
  </si>
  <si>
    <t>Mathai Hq</t>
  </si>
  <si>
    <t>Naivas Ronald Ngala</t>
  </si>
  <si>
    <t>Cleanshelf Rongai</t>
  </si>
  <si>
    <t>Onn The Way Gigiri</t>
  </si>
  <si>
    <t>Naivas Eastgate</t>
  </si>
  <si>
    <t>Naivas Digo</t>
  </si>
  <si>
    <t>Quickmart Utawala Express</t>
  </si>
  <si>
    <t>Quickmart Nyalenda</t>
  </si>
  <si>
    <t>Naivas Kericho</t>
  </si>
  <si>
    <t>Chandarana Kakamega</t>
  </si>
  <si>
    <t>Cleanshelf K Mall</t>
  </si>
  <si>
    <t>Naivas Airport</t>
  </si>
  <si>
    <t>Naivas Katani</t>
  </si>
  <si>
    <t>Naivas Safari</t>
  </si>
  <si>
    <t>Game Garden City</t>
  </si>
  <si>
    <t>Kassmatt Githurai</t>
  </si>
  <si>
    <t>Cleanshelf Kahawa West</t>
  </si>
  <si>
    <t>Naivas Riruta</t>
  </si>
  <si>
    <t>Naivas Komarock</t>
  </si>
  <si>
    <t>Naivas Kisii</t>
  </si>
  <si>
    <t>Kassmatt Kasarani</t>
  </si>
  <si>
    <t>Quickmart Kikiyu Rd</t>
  </si>
  <si>
    <t>Quickmart Ronagai Main</t>
  </si>
  <si>
    <t>Quickmart Utawal Main</t>
  </si>
  <si>
    <t>Quickmart Pionner</t>
  </si>
  <si>
    <t>Carrefour Kisumu Mega Plaza</t>
  </si>
  <si>
    <t>Defco Kahawa</t>
  </si>
  <si>
    <t>Quickmart Kitale</t>
  </si>
  <si>
    <t>Carrefour Karen Hub</t>
  </si>
  <si>
    <t>Naivas Naivasha Ndogo</t>
  </si>
  <si>
    <t>Naivas Githurai 44</t>
  </si>
  <si>
    <t>Powerstar Kitengela</t>
  </si>
  <si>
    <t>Chandarana Nairobi</t>
  </si>
  <si>
    <t>Quickmart Oginga Odinga</t>
  </si>
  <si>
    <t>Defco Nakuru</t>
  </si>
  <si>
    <t>Defco Statehouse</t>
  </si>
  <si>
    <t>Eastmatt Hq</t>
  </si>
  <si>
    <t>Defco Gilgil</t>
  </si>
  <si>
    <t>Defco Nanyuki</t>
  </si>
  <si>
    <t>Defco Nyali</t>
  </si>
  <si>
    <t>Naivas Embakassi Nyayo</t>
  </si>
  <si>
    <t>Naivas Mombasa</t>
  </si>
  <si>
    <t>Branches</t>
  </si>
  <si>
    <t>Outlets</t>
  </si>
  <si>
    <t>Chain</t>
  </si>
  <si>
    <t>Region</t>
  </si>
  <si>
    <t>Coast</t>
  </si>
  <si>
    <t>Nyanza</t>
  </si>
  <si>
    <t>Rift valley</t>
  </si>
  <si>
    <t>Central</t>
  </si>
  <si>
    <t>Eastern</t>
  </si>
  <si>
    <t>Western</t>
  </si>
  <si>
    <t>chain</t>
  </si>
  <si>
    <t>A-one</t>
  </si>
  <si>
    <t>Contribution</t>
  </si>
  <si>
    <t>Branch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</si>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</sst>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Book Antiqua"/>
      <family val="1"/>
    </font>
    <font>
      <sz val="12"/>
      <color theme="1"/>
      <name val="Book Antiqua"/>
      <family val="1"/>
    </font>
    <font>
      <b/>
      <sz val="11"/>
      <color theme="1" tint="0.14999847407452621"/>
      <name val="Book Antiqua"/>
      <family val="1"/>
    </font>
    <font>
      <b/>
      <sz val="10"/>
      <color theme="1"/>
      <name val="Book Antiqua"/>
      <family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4" fontId="2" fillId="0" borderId="0" xfId="0" applyNumberFormat="1" applyFont="1"/>
    <xf numFmtId="43" fontId="2" fillId="0" borderId="0" xfId="1" applyFont="1"/>
    <xf numFmtId="0" fontId="1" fillId="0" borderId="0" xfId="0" applyFont="1"/>
    <xf numFmtId="0" fontId="4" fillId="0" borderId="0" xfId="0" applyFont="1"/>
    <xf numFmtId="0" fontId="5" fillId="0" borderId="4" xfId="0" applyFont="1" applyBorder="1"/>
    <xf numFmtId="164" fontId="5" fillId="0" borderId="5" xfId="1" applyNumberFormat="1" applyFont="1" applyBorder="1"/>
    <xf numFmtId="9" fontId="5" fillId="0" borderId="5" xfId="2" applyFont="1" applyBorder="1"/>
    <xf numFmtId="0" fontId="5" fillId="0" borderId="1" xfId="0" applyFont="1" applyBorder="1"/>
    <xf numFmtId="164" fontId="5" fillId="0" borderId="3" xfId="1" applyNumberFormat="1" applyFont="1" applyBorder="1"/>
    <xf numFmtId="9" fontId="5" fillId="0" borderId="3" xfId="2" applyFont="1" applyBorder="1"/>
    <xf numFmtId="0" fontId="5" fillId="0" borderId="0" xfId="0" applyFont="1"/>
    <xf numFmtId="9" fontId="5" fillId="0" borderId="0" xfId="2" applyFont="1"/>
    <xf numFmtId="164" fontId="5" fillId="0" borderId="0" xfId="1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C3300"/>
        </patternFill>
      </fill>
    </dxf>
    <dxf>
      <font>
        <b/>
        <i val="0"/>
        <color theme="1" tint="4.9989318521683403E-2"/>
      </font>
      <fill>
        <patternFill>
          <bgColor rgb="FFFF0000"/>
        </patternFill>
      </fill>
    </dxf>
    <dxf>
      <font>
        <b/>
        <i val="0"/>
      </font>
      <fill>
        <patternFill>
          <bgColor theme="9" tint="-0.499984740745262"/>
        </patternFill>
      </fill>
    </dxf>
    <dxf>
      <fill>
        <patternFill>
          <bgColor theme="8"/>
        </patternFill>
      </fill>
    </dxf>
    <dxf>
      <font>
        <b/>
        <i val="0"/>
        <color theme="1" tint="4.9989318521683403E-2"/>
      </font>
      <fill>
        <patternFill>
          <bgColor theme="5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Scroll" dx="22" fmlaLink="$F$3" max="211" min="1" page="10"/>
</file>

<file path=xl/ctrlProps/ctrlProp2.xml><?xml version="1.0" encoding="utf-8"?>
<formControlPr xmlns="http://schemas.microsoft.com/office/spreadsheetml/2009/9/main" objectType="Scroll" dx="22" fmlaLink="$J$3" max="213" min="1" page="1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9526</xdr:rowOff>
    </xdr:from>
    <xdr:to>
      <xdr:col>14</xdr:col>
      <xdr:colOff>57150</xdr:colOff>
      <xdr:row>1</xdr:row>
      <xdr:rowOff>180976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9526"/>
          <a:ext cx="12449174" cy="3619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Simple Analysis</a:t>
          </a:r>
          <a:endParaRPr lang="en-KE" sz="2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47625</xdr:rowOff>
        </xdr:from>
        <xdr:to>
          <xdr:col>10</xdr:col>
          <xdr:colOff>657225</xdr:colOff>
          <xdr:row>3</xdr:row>
          <xdr:rowOff>123825</xdr:rowOff>
        </xdr:to>
        <xdr:sp macro="" textlink="">
          <xdr:nvSpPr>
            <xdr:cNvPr id="5121" name="Tex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704850</xdr:colOff>
      <xdr:row>2</xdr:row>
      <xdr:rowOff>152400</xdr:rowOff>
    </xdr:from>
    <xdr:to>
      <xdr:col>2</xdr:col>
      <xdr:colOff>190500</xdr:colOff>
      <xdr:row>4</xdr:row>
      <xdr:rowOff>0</xdr:rowOff>
    </xdr:to>
    <xdr:sp macro="" textlink="Sheet4!B6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47725" y="533400"/>
          <a:ext cx="457200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883D3F4-27D3-4E44-8F32-3D679C176CC7}" type="TxLink">
            <a:rPr lang="en-US" sz="900" b="1" i="0" u="none" strike="noStrike">
              <a:solidFill>
                <a:srgbClr val="000000"/>
              </a:solidFill>
              <a:latin typeface="Book Antiqua" panose="02040602050305030304" pitchFamily="18" charset="0"/>
              <a:cs typeface="Calibri"/>
            </a:rPr>
            <a:pPr algn="ctr"/>
            <a:t>14</a:t>
          </a:fld>
          <a:endParaRPr lang="en-KE" sz="1050" b="1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3</xdr:col>
      <xdr:colOff>276225</xdr:colOff>
      <xdr:row>3</xdr:row>
      <xdr:rowOff>1</xdr:rowOff>
    </xdr:from>
    <xdr:to>
      <xdr:col>4</xdr:col>
      <xdr:colOff>0</xdr:colOff>
      <xdr:row>4</xdr:row>
      <xdr:rowOff>9526</xdr:rowOff>
    </xdr:to>
    <xdr:sp macro="" textlink="Sheet4!B7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409825" y="542926"/>
          <a:ext cx="457200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BCF7358D-97AC-452D-AF27-252C215CA1C9}" type="TxLink">
            <a:rPr lang="en-US" sz="105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226</a:t>
          </a:fld>
          <a:endParaRPr lang="en-KE" sz="105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5</xdr:row>
          <xdr:rowOff>0</xdr:rowOff>
        </xdr:from>
        <xdr:to>
          <xdr:col>4</xdr:col>
          <xdr:colOff>600075</xdr:colOff>
          <xdr:row>19</xdr:row>
          <xdr:rowOff>171450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5</xdr:row>
          <xdr:rowOff>19050</xdr:rowOff>
        </xdr:from>
        <xdr:to>
          <xdr:col>8</xdr:col>
          <xdr:colOff>600075</xdr:colOff>
          <xdr:row>19</xdr:row>
          <xdr:rowOff>190500</xdr:rowOff>
        </xdr:to>
        <xdr:sp macro="" textlink="">
          <xdr:nvSpPr>
            <xdr:cNvPr id="5123" name="Scroll Ba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47624</xdr:colOff>
      <xdr:row>2</xdr:row>
      <xdr:rowOff>152400</xdr:rowOff>
    </xdr:from>
    <xdr:to>
      <xdr:col>1</xdr:col>
      <xdr:colOff>676275</xdr:colOff>
      <xdr:row>3</xdr:row>
      <xdr:rowOff>180975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90499" y="533400"/>
          <a:ext cx="628651" cy="19050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rgbClr val="000000"/>
              </a:solidFill>
              <a:latin typeface="Book Antiqua" panose="02040602050305030304" pitchFamily="18" charset="0"/>
              <a:cs typeface="Calibri"/>
            </a:rPr>
            <a:t>Chains</a:t>
          </a:r>
        </a:p>
      </xdr:txBody>
    </xdr:sp>
    <xdr:clientData/>
  </xdr:twoCellAnchor>
  <xdr:twoCellAnchor>
    <xdr:from>
      <xdr:col>2</xdr:col>
      <xdr:colOff>504825</xdr:colOff>
      <xdr:row>3</xdr:row>
      <xdr:rowOff>1</xdr:rowOff>
    </xdr:from>
    <xdr:to>
      <xdr:col>3</xdr:col>
      <xdr:colOff>209550</xdr:colOff>
      <xdr:row>4</xdr:row>
      <xdr:rowOff>19051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619250" y="542926"/>
          <a:ext cx="723900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rgbClr val="000000"/>
              </a:solidFill>
              <a:latin typeface="Book Antiqua" panose="02040602050305030304" pitchFamily="18" charset="0"/>
              <a:cs typeface="Calibri"/>
            </a:rPr>
            <a:t>Branches</a:t>
          </a:r>
        </a:p>
      </xdr:txBody>
    </xdr:sp>
    <xdr:clientData/>
  </xdr:twoCellAnchor>
  <xdr:twoCellAnchor>
    <xdr:from>
      <xdr:col>12</xdr:col>
      <xdr:colOff>28575</xdr:colOff>
      <xdr:row>2</xdr:row>
      <xdr:rowOff>152400</xdr:rowOff>
    </xdr:from>
    <xdr:to>
      <xdr:col>13</xdr:col>
      <xdr:colOff>581025</xdr:colOff>
      <xdr:row>5</xdr:row>
      <xdr:rowOff>57150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AFB62FFF-1D4A-2D46-0D04-C7494C432CBA}"/>
            </a:ext>
          </a:extLst>
        </xdr:cNvPr>
        <xdr:cNvSpPr/>
      </xdr:nvSpPr>
      <xdr:spPr>
        <a:xfrm>
          <a:off x="11201400" y="533400"/>
          <a:ext cx="1162050" cy="41910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900">
              <a:solidFill>
                <a:schemeClr val="accent6">
                  <a:lumMod val="50000"/>
                </a:schemeClr>
              </a:solidFill>
              <a:latin typeface="Book Antiqua" panose="02040602050305030304" pitchFamily="18" charset="0"/>
              <a:ea typeface="+mn-ea"/>
              <a:cs typeface="+mn-cs"/>
            </a:rPr>
            <a:t>Search bar</a:t>
          </a:r>
          <a:endParaRPr lang="en-KE" sz="900">
            <a:solidFill>
              <a:schemeClr val="accent6">
                <a:lumMod val="50000"/>
              </a:schemeClr>
            </a:solidFill>
            <a:latin typeface="Book Antiqua" panose="0204060205030503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647700</xdr:colOff>
      <xdr:row>2</xdr:row>
      <xdr:rowOff>133350</xdr:rowOff>
    </xdr:from>
    <xdr:to>
      <xdr:col>12</xdr:col>
      <xdr:colOff>47625</xdr:colOff>
      <xdr:row>4</xdr:row>
      <xdr:rowOff>19050</xdr:rowOff>
    </xdr:to>
    <xdr:cxnSp macro="">
      <xdr:nvCxnSpPr>
        <xdr:cNvPr id="9" name="Connector: Curved 8">
          <a:extLst>
            <a:ext uri="{FF2B5EF4-FFF2-40B4-BE49-F238E27FC236}">
              <a16:creationId xmlns:a16="http://schemas.microsoft.com/office/drawing/2014/main" id="{C6346CFD-85A5-BFA2-2150-41F7C9BF6F65}"/>
            </a:ext>
          </a:extLst>
        </xdr:cNvPr>
        <xdr:cNvCxnSpPr/>
      </xdr:nvCxnSpPr>
      <xdr:spPr>
        <a:xfrm>
          <a:off x="10182225" y="514350"/>
          <a:ext cx="1038225" cy="238125"/>
        </a:xfrm>
        <a:prstGeom prst="curvedConnector3">
          <a:avLst/>
        </a:prstGeom>
        <a:ln>
          <a:solidFill>
            <a:schemeClr val="accent6">
              <a:lumMod val="20000"/>
              <a:lumOff val="8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361949</xdr:colOff>
      <xdr:row>22</xdr:row>
      <xdr:rowOff>9525</xdr:rowOff>
    </xdr:from>
    <xdr:to>
      <xdr:col>5</xdr:col>
      <xdr:colOff>761999</xdr:colOff>
      <xdr:row>26</xdr:row>
      <xdr:rowOff>76200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17C4482A-E97B-42CE-95E5-8B0BDD27F6D1}"/>
            </a:ext>
          </a:extLst>
        </xdr:cNvPr>
        <xdr:cNvSpPr/>
      </xdr:nvSpPr>
      <xdr:spPr>
        <a:xfrm>
          <a:off x="2495549" y="4410075"/>
          <a:ext cx="1800225" cy="82867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accent6">
                  <a:lumMod val="50000"/>
                </a:schemeClr>
              </a:solidFill>
              <a:latin typeface="Book Antiqua" panose="02040602050305030304" pitchFamily="18" charset="0"/>
            </a:rPr>
            <a:t>Double click to select to</a:t>
          </a:r>
          <a:r>
            <a:rPr lang="en-US" sz="900" baseline="0">
              <a:solidFill>
                <a:schemeClr val="accent6">
                  <a:lumMod val="50000"/>
                </a:schemeClr>
              </a:solidFill>
              <a:latin typeface="Book Antiqua" panose="02040602050305030304" pitchFamily="18" charset="0"/>
            </a:rPr>
            <a:t> view outlets under each chain</a:t>
          </a:r>
          <a:endParaRPr lang="en-KE" sz="900">
            <a:solidFill>
              <a:schemeClr val="accent6">
                <a:lumMod val="50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</xdr:col>
      <xdr:colOff>476250</xdr:colOff>
      <xdr:row>19</xdr:row>
      <xdr:rowOff>161925</xdr:rowOff>
    </xdr:from>
    <xdr:to>
      <xdr:col>3</xdr:col>
      <xdr:colOff>390525</xdr:colOff>
      <xdr:row>23</xdr:row>
      <xdr:rowOff>19050</xdr:rowOff>
    </xdr:to>
    <xdr:cxnSp macro="">
      <xdr:nvCxnSpPr>
        <xdr:cNvPr id="13" name="Connector: Curved 12">
          <a:extLst>
            <a:ext uri="{FF2B5EF4-FFF2-40B4-BE49-F238E27FC236}">
              <a16:creationId xmlns:a16="http://schemas.microsoft.com/office/drawing/2014/main" id="{DED693EC-C409-4DD4-994F-7084340DA1D3}"/>
            </a:ext>
          </a:extLst>
        </xdr:cNvPr>
        <xdr:cNvCxnSpPr/>
      </xdr:nvCxnSpPr>
      <xdr:spPr>
        <a:xfrm>
          <a:off x="619125" y="3971925"/>
          <a:ext cx="1905000" cy="638175"/>
        </a:xfrm>
        <a:prstGeom prst="curvedConnector3">
          <a:avLst/>
        </a:prstGeom>
        <a:ln>
          <a:solidFill>
            <a:schemeClr val="accent6">
              <a:lumMod val="20000"/>
              <a:lumOff val="8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7F513A-3E6D-4E80-969E-C0FD75B2F920}" name="Table1" displayName="Table1" ref="A2:F571" totalsRowShown="0" headerRowDxfId="7" dataDxfId="6">
  <autoFilter ref="A2:F571" xr:uid="{4E007F8A-A17E-4FE3-A8AA-148496ACC987}"/>
  <tableColumns count="6">
    <tableColumn id="1" xr3:uid="{A975D496-0124-4FF8-BDA5-A991E46930C2}" name="LPO DATE" dataDxfId="5"/>
    <tableColumn id="6" xr3:uid="{22BCF736-4116-4E0E-AE13-B713677AE588}" name="Outlets" dataDxfId="4"/>
    <tableColumn id="7" xr3:uid="{80AE2C8A-4485-4278-BE4A-8608069DEFDF}" name="Region" dataDxfId="3"/>
    <tableColumn id="4" xr3:uid="{8C7816BF-501B-4877-A631-83417ACA1BB9}" name="Invoice no" dataDxfId="2"/>
    <tableColumn id="5" xr3:uid="{6F253CDC-BA8B-48FB-B63D-AFF4F1038899}" name="Value" dataDxfId="1" dataCellStyle="Comma"/>
    <tableColumn id="8" xr3:uid="{B02BBF14-3C97-486C-BFB9-A3CFB31EE6CA}" name="Chai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A6E3E-D50D-427C-A132-44E6A1165111}">
  <sheetPr codeName="Sheet4"/>
  <dimension ref="B3:M21"/>
  <sheetViews>
    <sheetView showGridLines="0" tabSelected="1" workbookViewId="0">
      <selection activeCell="G18" sqref="G18"/>
    </sheetView>
  </sheetViews>
  <sheetFormatPr defaultRowHeight="15" x14ac:dyDescent="0.25"/>
  <cols>
    <col min="1" max="1" width="2.140625" customWidth="1"/>
    <col min="2" max="2" width="14.5703125" bestFit="1" customWidth="1"/>
    <col min="3" max="3" width="15.28515625" customWidth="1"/>
    <col min="4" max="4" width="11.85546875" bestFit="1" customWidth="1"/>
    <col min="6" max="6" width="28.7109375" bestFit="1" customWidth="1"/>
    <col min="7" max="7" width="11.5703125" bestFit="1" customWidth="1"/>
    <col min="8" max="8" width="11.85546875" bestFit="1" customWidth="1"/>
    <col min="10" max="10" width="28.7109375" bestFit="1" customWidth="1"/>
    <col min="11" max="11" width="12.7109375" bestFit="1" customWidth="1"/>
    <col min="12" max="12" width="11.85546875" bestFit="1" customWidth="1"/>
  </cols>
  <sheetData>
    <row r="3" spans="2:12" s="1" customFormat="1" ht="12.75" x14ac:dyDescent="0.2">
      <c r="F3" s="5">
        <v>1</v>
      </c>
      <c r="G3" s="5">
        <f>G4</f>
        <v>27</v>
      </c>
      <c r="J3" s="1">
        <v>1</v>
      </c>
    </row>
    <row r="4" spans="2:12" s="1" customFormat="1" x14ac:dyDescent="0.25">
      <c r="B4" s="4"/>
      <c r="F4" s="16" t="str">
        <f>Formula_Unique_Values!D20</f>
        <v>Chandarana</v>
      </c>
      <c r="G4" s="16">
        <f>Formula_Unique_Values!D21</f>
        <v>27</v>
      </c>
      <c r="J4" s="4"/>
    </row>
    <row r="5" spans="2:12" s="1" customFormat="1" ht="12.75" x14ac:dyDescent="0.2">
      <c r="B5" s="4"/>
      <c r="J5" s="4"/>
    </row>
    <row r="6" spans="2:12" s="1" customFormat="1" x14ac:dyDescent="0.3">
      <c r="B6" s="17" t="s">
        <v>247</v>
      </c>
      <c r="C6" s="17" t="s">
        <v>2</v>
      </c>
      <c r="D6" s="17" t="s">
        <v>257</v>
      </c>
      <c r="F6" s="17" t="s">
        <v>258</v>
      </c>
      <c r="G6" s="17" t="s">
        <v>2</v>
      </c>
      <c r="H6" s="17" t="s">
        <v>257</v>
      </c>
      <c r="J6" s="17" t="s">
        <v>258</v>
      </c>
      <c r="K6" s="17" t="s">
        <v>2</v>
      </c>
      <c r="L6" s="17" t="s">
        <v>257</v>
      </c>
    </row>
    <row r="7" spans="2:12" s="1" customFormat="1" ht="16.5" x14ac:dyDescent="0.3">
      <c r="B7" s="6" t="str">
        <f>Formula_Unique_Values!D3</f>
        <v>Naivas</v>
      </c>
      <c r="C7" s="7">
        <f>SUMPRODUCT((Table1[Chain]=B7)*(Table1[Value]))</f>
        <v>14010741.290000003</v>
      </c>
      <c r="D7" s="8">
        <f>C7/SUM($C$7:$C$20)</f>
        <v>0.33874437362731991</v>
      </c>
      <c r="F7" s="12" t="str">
        <f>INDEX(Data!$N$3:$O$228,ROWS(Data!$L$3:L3)-1+Dashboard!$F$3,COLUMNS(Dashboard!$F$3:F3))</f>
        <v>Chandarana Yaya</v>
      </c>
      <c r="G7" s="14">
        <f>INDEX(Data!$N$3:$O$228,ROWS(Data!$L$3:M3)-1+Dashboard!$F$3,COLUMNS(Dashboard!$F$3:G3))</f>
        <v>776256.23</v>
      </c>
      <c r="H7" s="13">
        <f>IF(G7&lt;&gt;"",G7/SUM($C$7:$C$20),"")</f>
        <v>1.8767917054705298E-2</v>
      </c>
      <c r="J7" s="12" t="str">
        <f>INDEX(Data!$AC$3:$AE$228,Dashboard!$J$3+ROWS(Dashboard!$I$7:I7)-1,COLUMNS(Dashboard!$I$7:I7))</f>
        <v>Naivas Hq</v>
      </c>
      <c r="K7" s="14">
        <f>INDEX(Data!$AC$3:$AE$228,Dashboard!$J$3+ROWS(Dashboard!$I$7:J7)-1,COLUMNS(Dashboard!$I$7:J7))</f>
        <v>6282830.25</v>
      </c>
      <c r="L7" s="13">
        <f>IF(K7&lt;&gt;"",K7/SUM($C$7:$C$20),"")</f>
        <v>0.15190298311782097</v>
      </c>
    </row>
    <row r="8" spans="2:12" s="1" customFormat="1" ht="16.5" x14ac:dyDescent="0.3">
      <c r="B8" s="9" t="str">
        <f>Formula_Unique_Values!D4</f>
        <v>Carrefour</v>
      </c>
      <c r="C8" s="10">
        <f>SUMPRODUCT((Table1[Chain]=B8)*(Table1[Value]))</f>
        <v>12901357.420000004</v>
      </c>
      <c r="D8" s="11">
        <f t="shared" ref="D8:D20" si="0">C8/SUM($C$7:$C$20)</f>
        <v>0.31192227075802897</v>
      </c>
      <c r="F8" s="12" t="str">
        <f>INDEX(Data!$N$3:$O$228,ROWS(Data!$L$3:L4)-1+Dashboard!$F$3,COLUMNS(Dashboard!$F$3:F4))</f>
        <v>Chandarana Lavington</v>
      </c>
      <c r="G8" s="14">
        <f>INDEX(Data!$N$3:$O$228,ROWS(Data!$L$3:M4)-1+Dashboard!$F$3,COLUMNS(Dashboard!$F$3:G4))</f>
        <v>590588.23</v>
      </c>
      <c r="H8" s="13">
        <f t="shared" ref="H8:H20" si="1">IF(G8&lt;&gt;"",G8/SUM($C$7:$C$20),"")</f>
        <v>1.4278933277128371E-2</v>
      </c>
      <c r="J8" s="12" t="str">
        <f>INDEX(Data!$AC$3:$AE$228,Dashboard!$J$3+ROWS(Dashboard!$I$7:I8)-1,COLUMNS(Dashboard!$I$7:I8))</f>
        <v>Carrefour Junction</v>
      </c>
      <c r="K8" s="14">
        <f>INDEX(Data!$AC$3:$AE$228,Dashboard!$J$3+ROWS(Dashboard!$I$7:J8)-1,COLUMNS(Dashboard!$I$7:J8))</f>
        <v>2460557.58</v>
      </c>
      <c r="L8" s="13">
        <f t="shared" ref="L8:L20" si="2">IF(K8&lt;&gt;"",K8/SUM($C$7:$C$20),"")</f>
        <v>5.949007400528869E-2</v>
      </c>
    </row>
    <row r="9" spans="2:12" s="1" customFormat="1" ht="16.5" x14ac:dyDescent="0.3">
      <c r="B9" s="9" t="str">
        <f>Formula_Unique_Values!D2</f>
        <v>Chandarana</v>
      </c>
      <c r="C9" s="10">
        <f>SUMPRODUCT((Table1[Chain]=B9)*(Table1[Value]))</f>
        <v>6135834.1500000004</v>
      </c>
      <c r="D9" s="11">
        <f t="shared" si="0"/>
        <v>0.14834898830844578</v>
      </c>
      <c r="F9" s="12" t="str">
        <f>INDEX(Data!$N$3:$O$228,ROWS(Data!$L$3:L5)-1+Dashboard!$F$3,COLUMNS(Dashboard!$F$3:F5))</f>
        <v>Chandarana Diamond</v>
      </c>
      <c r="G9" s="14">
        <f>INDEX(Data!$N$3:$O$228,ROWS(Data!$L$3:M5)-1+Dashboard!$F$3,COLUMNS(Dashboard!$F$3:G5))</f>
        <v>569651.96</v>
      </c>
      <c r="H9" s="13">
        <f t="shared" si="1"/>
        <v>1.3772747093225004E-2</v>
      </c>
      <c r="J9" s="12" t="str">
        <f>INDEX(Data!$AC$3:$AE$228,Dashboard!$J$3+ROWS(Dashboard!$I$7:I9)-1,COLUMNS(Dashboard!$I$7:I9))</f>
        <v>Carrefour Sarit</v>
      </c>
      <c r="K9" s="14">
        <f>INDEX(Data!$AC$3:$AE$228,Dashboard!$J$3+ROWS(Dashboard!$I$7:J9)-1,COLUMNS(Dashboard!$I$7:J9))</f>
        <v>2419659.7799999998</v>
      </c>
      <c r="L9" s="13">
        <f t="shared" si="2"/>
        <v>5.8501268391297122E-2</v>
      </c>
    </row>
    <row r="10" spans="2:12" s="1" customFormat="1" ht="16.5" x14ac:dyDescent="0.3">
      <c r="B10" s="9" t="str">
        <f>Formula_Unique_Values!D6</f>
        <v>Quickmart</v>
      </c>
      <c r="C10" s="10">
        <f>SUMPRODUCT((Table1[Chain]=B10)*(Table1[Value]))</f>
        <v>5060540.7699999977</v>
      </c>
      <c r="D10" s="11">
        <f t="shared" si="0"/>
        <v>0.12235110747299824</v>
      </c>
      <c r="F10" s="12" t="str">
        <f>INDEX(Data!$N$3:$O$228,ROWS(Data!$L$3:L6)-1+Dashboard!$F$3,COLUMNS(Dashboard!$F$3:F6))</f>
        <v>Chandarana Adlife</v>
      </c>
      <c r="G10" s="14">
        <f>INDEX(Data!$N$3:$O$228,ROWS(Data!$L$3:M6)-1+Dashboard!$F$3,COLUMNS(Dashboard!$F$3:G6))</f>
        <v>492427.43999999994</v>
      </c>
      <c r="H10" s="13">
        <f t="shared" si="1"/>
        <v>1.190565304626395E-2</v>
      </c>
      <c r="J10" s="12" t="str">
        <f>INDEX(Data!$AC$3:$AE$228,Dashboard!$J$3+ROWS(Dashboard!$I$7:I10)-1,COLUMNS(Dashboard!$I$7:I10))</f>
        <v>Naivas Mombasa</v>
      </c>
      <c r="K10" s="14">
        <f>INDEX(Data!$AC$3:$AE$228,Dashboard!$J$3+ROWS(Dashboard!$I$7:J10)-1,COLUMNS(Dashboard!$I$7:J10))</f>
        <v>2305557.38</v>
      </c>
      <c r="L10" s="13">
        <f t="shared" si="2"/>
        <v>5.5742560253208742E-2</v>
      </c>
    </row>
    <row r="11" spans="2:12" s="1" customFormat="1" ht="16.5" x14ac:dyDescent="0.3">
      <c r="B11" s="9" t="str">
        <f>Formula_Unique_Values!D13</f>
        <v>Mathai</v>
      </c>
      <c r="C11" s="10">
        <f>SUMPRODUCT((Table1[Chain]=B11)*(Table1[Value]))</f>
        <v>586802.57999999996</v>
      </c>
      <c r="D11" s="11">
        <f t="shared" si="0"/>
        <v>1.4187405811773092E-2</v>
      </c>
      <c r="F11" s="12" t="str">
        <f>INDEX(Data!$N$3:$O$228,ROWS(Data!$L$3:L7)-1+Dashboard!$F$3,COLUMNS(Dashboard!$F$3:F7))</f>
        <v>Chandarana Nyali</v>
      </c>
      <c r="G11" s="14">
        <f>INDEX(Data!$N$3:$O$228,ROWS(Data!$L$3:M7)-1+Dashboard!$F$3,COLUMNS(Dashboard!$F$3:G7))</f>
        <v>383305.79000000004</v>
      </c>
      <c r="H11" s="13">
        <f t="shared" si="1"/>
        <v>9.2673668761515619E-3</v>
      </c>
      <c r="J11" s="12" t="str">
        <f>INDEX(Data!$AC$3:$AE$228,Dashboard!$J$3+ROWS(Dashboard!$I$7:I11)-1,COLUMNS(Dashboard!$I$7:I11))</f>
        <v>Carrefour Two Rivers</v>
      </c>
      <c r="K11" s="14">
        <f>INDEX(Data!$AC$3:$AE$228,Dashboard!$J$3+ROWS(Dashboard!$I$7:J11)-1,COLUMNS(Dashboard!$I$7:J11))</f>
        <v>1214182.52</v>
      </c>
      <c r="L11" s="13">
        <f t="shared" si="2"/>
        <v>2.935586980684594E-2</v>
      </c>
    </row>
    <row r="12" spans="2:12" s="1" customFormat="1" ht="16.5" x14ac:dyDescent="0.3">
      <c r="B12" s="9" t="str">
        <f>Formula_Unique_Values!D5</f>
        <v>Cleanshelf</v>
      </c>
      <c r="C12" s="10">
        <f>SUMPRODUCT((Table1[Chain]=B12)*(Table1[Value]))</f>
        <v>543056.92999999993</v>
      </c>
      <c r="D12" s="11">
        <f t="shared" si="0"/>
        <v>1.3129746370245427E-2</v>
      </c>
      <c r="F12" s="12" t="str">
        <f>INDEX(Data!$N$3:$O$228,ROWS(Data!$L$3:L8)-1+Dashboard!$F$3,COLUMNS(Dashboard!$F$3:F8))</f>
        <v>Chandarana Nanyuki</v>
      </c>
      <c r="G12" s="14">
        <f>INDEX(Data!$N$3:$O$228,ROWS(Data!$L$3:M8)-1+Dashboard!$F$3,COLUMNS(Dashboard!$F$3:G8))</f>
        <v>327928.5</v>
      </c>
      <c r="H12" s="13">
        <f t="shared" si="1"/>
        <v>7.9284837274335648E-3</v>
      </c>
      <c r="J12" s="12" t="str">
        <f>INDEX(Data!$AC$3:$AE$228,Dashboard!$J$3+ROWS(Dashboard!$I$7:I12)-1,COLUMNS(Dashboard!$I$7:I12))</f>
        <v>Carrefour Karen</v>
      </c>
      <c r="K12" s="14">
        <f>INDEX(Data!$AC$3:$AE$228,Dashboard!$J$3+ROWS(Dashboard!$I$7:J12)-1,COLUMNS(Dashboard!$I$7:J12))</f>
        <v>967068.2</v>
      </c>
      <c r="L12" s="13">
        <f t="shared" si="2"/>
        <v>2.3381269048034763E-2</v>
      </c>
    </row>
    <row r="13" spans="2:12" s="1" customFormat="1" ht="16.5" x14ac:dyDescent="0.3">
      <c r="B13" s="9" t="str">
        <f>Formula_Unique_Values!D15</f>
        <v>Eastmatt</v>
      </c>
      <c r="C13" s="10">
        <f>SUMPRODUCT((Table1[Chain]=B13)*(Table1[Value]))</f>
        <v>529064.97</v>
      </c>
      <c r="D13" s="11">
        <f t="shared" si="0"/>
        <v>1.2791456080822883E-2</v>
      </c>
      <c r="F13" s="12" t="str">
        <f>INDEX(Data!$N$3:$O$228,ROWS(Data!$L$3:L9)-1+Dashboard!$F$3,COLUMNS(Dashboard!$F$3:F9))</f>
        <v>Chandarana Ridgeways</v>
      </c>
      <c r="G13" s="14">
        <f>INDEX(Data!$N$3:$O$228,ROWS(Data!$L$3:M9)-1+Dashboard!$F$3,COLUMNS(Dashboard!$F$3:G9))</f>
        <v>322381.57</v>
      </c>
      <c r="H13" s="13">
        <f t="shared" si="1"/>
        <v>7.7943729555969817E-3</v>
      </c>
      <c r="J13" s="12" t="str">
        <f>INDEX(Data!$AC$3:$AE$228,Dashboard!$J$3+ROWS(Dashboard!$I$7:I13)-1,COLUMNS(Dashboard!$I$7:I13))</f>
        <v>Carrefour Galleria</v>
      </c>
      <c r="K13" s="14">
        <f>INDEX(Data!$AC$3:$AE$228,Dashboard!$J$3+ROWS(Dashboard!$I$7:J13)-1,COLUMNS(Dashboard!$I$7:J13))</f>
        <v>943278.21999999986</v>
      </c>
      <c r="L13" s="13">
        <f t="shared" si="2"/>
        <v>2.2806087356580771E-2</v>
      </c>
    </row>
    <row r="14" spans="2:12" s="1" customFormat="1" ht="16.5" x14ac:dyDescent="0.3">
      <c r="B14" s="9" t="str">
        <f>Formula_Unique_Values!D7</f>
        <v>A-One</v>
      </c>
      <c r="C14" s="10">
        <f>SUMPRODUCT((Table1[Chain]=B14)*(Table1[Value]))</f>
        <v>470800.64000000001</v>
      </c>
      <c r="D14" s="11">
        <f t="shared" si="0"/>
        <v>1.1382771589249815E-2</v>
      </c>
      <c r="F14" s="12" t="str">
        <f>INDEX(Data!$N$3:$O$228,ROWS(Data!$L$3:L10)-1+Dashboard!$F$3,COLUMNS(Dashboard!$F$3:F10))</f>
        <v>Chandarana Rhapta</v>
      </c>
      <c r="G14" s="14">
        <f>INDEX(Data!$N$3:$O$228,ROWS(Data!$L$3:M10)-1+Dashboard!$F$3,COLUMNS(Dashboard!$F$3:G10))</f>
        <v>291717.65000000002</v>
      </c>
      <c r="H14" s="13">
        <f t="shared" si="1"/>
        <v>7.0529967387102984E-3</v>
      </c>
      <c r="J14" s="12" t="str">
        <f>INDEX(Data!$AC$3:$AE$228,Dashboard!$J$3+ROWS(Dashboard!$I$7:I14)-1,COLUMNS(Dashboard!$I$7:I14))</f>
        <v>Carrefour Mega</v>
      </c>
      <c r="K14" s="14">
        <f>INDEX(Data!$AC$3:$AE$228,Dashboard!$J$3+ROWS(Dashboard!$I$7:J14)-1,COLUMNS(Dashboard!$I$7:J14))</f>
        <v>934547.81</v>
      </c>
      <c r="L14" s="13">
        <f t="shared" si="2"/>
        <v>2.2595008070642457E-2</v>
      </c>
    </row>
    <row r="15" spans="2:12" s="1" customFormat="1" ht="16.5" x14ac:dyDescent="0.3">
      <c r="B15" s="9" t="str">
        <f>Formula_Unique_Values!D9</f>
        <v>Onn The Way</v>
      </c>
      <c r="C15" s="10">
        <f>SUMPRODUCT((Table1[Chain]=B15)*(Table1[Value]))</f>
        <v>336656.99</v>
      </c>
      <c r="D15" s="11">
        <f t="shared" si="0"/>
        <v>8.1395165926162697E-3</v>
      </c>
      <c r="F15" s="12" t="str">
        <f>INDEX(Data!$N$3:$O$228,ROWS(Data!$L$3:L11)-1+Dashboard!$F$3,COLUMNS(Dashboard!$F$3:F11))</f>
        <v>Chandarana Abc</v>
      </c>
      <c r="G15" s="14">
        <f>INDEX(Data!$N$3:$O$228,ROWS(Data!$L$3:M11)-1+Dashboard!$F$3,COLUMNS(Dashboard!$F$3:G11))</f>
        <v>273587.67</v>
      </c>
      <c r="H15" s="13">
        <f t="shared" si="1"/>
        <v>6.6146595664038467E-3</v>
      </c>
      <c r="J15" s="12" t="str">
        <f>INDEX(Data!$AC$3:$AE$228,Dashboard!$J$3+ROWS(Dashboard!$I$7:I15)-1,COLUMNS(Dashboard!$I$7:I15))</f>
        <v>Carrefour Village</v>
      </c>
      <c r="K15" s="14">
        <f>INDEX(Data!$AC$3:$AE$228,Dashboard!$J$3+ROWS(Dashboard!$I$7:J15)-1,COLUMNS(Dashboard!$I$7:J15))</f>
        <v>931885.53</v>
      </c>
      <c r="L15" s="13">
        <f t="shared" si="2"/>
        <v>2.2530640857491201E-2</v>
      </c>
    </row>
    <row r="16" spans="2:12" s="1" customFormat="1" ht="16.5" x14ac:dyDescent="0.3">
      <c r="B16" s="9" t="str">
        <f>Formula_Unique_Values!D11</f>
        <v>Defco</v>
      </c>
      <c r="C16" s="10">
        <f>SUMPRODUCT((Table1[Chain]=B16)*(Table1[Value]))</f>
        <v>312951.46000000002</v>
      </c>
      <c r="D16" s="11">
        <f t="shared" si="0"/>
        <v>7.5663766890848956E-3</v>
      </c>
      <c r="F16" s="12" t="str">
        <f>INDEX(Data!$N$3:$O$228,ROWS(Data!$L$3:L12)-1+Dashboard!$F$3,COLUMNS(Dashboard!$F$3:F12))</f>
        <v>Chandarana Eld</v>
      </c>
      <c r="G16" s="14">
        <f>INDEX(Data!$N$3:$O$228,ROWS(Data!$L$3:M12)-1+Dashboard!$F$3,COLUMNS(Dashboard!$F$3:G12))</f>
        <v>270014.15000000002</v>
      </c>
      <c r="H16" s="13">
        <f t="shared" si="1"/>
        <v>6.5282608692193754E-3</v>
      </c>
      <c r="J16" s="12" t="str">
        <f>INDEX(Data!$AC$3:$AE$228,Dashboard!$J$3+ROWS(Dashboard!$I$7:I16)-1,COLUMNS(Dashboard!$I$7:I16))</f>
        <v>Chandarana Yaya</v>
      </c>
      <c r="K16" s="14">
        <f>INDEX(Data!$AC$3:$AE$228,Dashboard!$J$3+ROWS(Dashboard!$I$7:J16)-1,COLUMNS(Dashboard!$I$7:J16))</f>
        <v>776256.23</v>
      </c>
      <c r="L16" s="13">
        <f t="shared" si="2"/>
        <v>1.8767917054705298E-2</v>
      </c>
    </row>
    <row r="17" spans="2:13" s="1" customFormat="1" ht="16.5" x14ac:dyDescent="0.3">
      <c r="B17" s="9" t="str">
        <f>Formula_Unique_Values!D8</f>
        <v>Powerstar</v>
      </c>
      <c r="C17" s="10">
        <f>SUMPRODUCT((Table1[Chain]=B17)*(Table1[Value]))</f>
        <v>284880.12</v>
      </c>
      <c r="D17" s="11">
        <f t="shared" si="0"/>
        <v>6.8876825152108497E-3</v>
      </c>
      <c r="F17" s="12" t="str">
        <f>INDEX(Data!$N$3:$O$228,ROWS(Data!$L$3:L13)-1+Dashboard!$F$3,COLUMNS(Dashboard!$F$3:F13))</f>
        <v>Chandarana Mobil</v>
      </c>
      <c r="G17" s="14">
        <f>INDEX(Data!$N$3:$O$228,ROWS(Data!$L$3:M13)-1+Dashboard!$F$3,COLUMNS(Dashboard!$F$3:G13))</f>
        <v>224419.08000000002</v>
      </c>
      <c r="H17" s="13">
        <f t="shared" si="1"/>
        <v>5.4258871183981002E-3</v>
      </c>
      <c r="J17" s="12" t="str">
        <f>INDEX(Data!$AC$3:$AE$228,Dashboard!$J$3+ROWS(Dashboard!$I$7:I17)-1,COLUMNS(Dashboard!$I$7:I17))</f>
        <v>Carrefour Trm</v>
      </c>
      <c r="K17" s="14">
        <f>INDEX(Data!$AC$3:$AE$228,Dashboard!$J$3+ROWS(Dashboard!$I$7:J17)-1,COLUMNS(Dashboard!$I$7:J17))</f>
        <v>742433.98</v>
      </c>
      <c r="L17" s="13">
        <f t="shared" si="2"/>
        <v>1.7950180387260442E-2</v>
      </c>
    </row>
    <row r="18" spans="2:13" s="1" customFormat="1" ht="16.5" x14ac:dyDescent="0.3">
      <c r="B18" s="9" t="str">
        <f>Formula_Unique_Values!D12</f>
        <v>Kassmatt</v>
      </c>
      <c r="C18" s="10">
        <f>SUMPRODUCT((Table1[Chain]=B18)*(Table1[Value]))</f>
        <v>105710.21999999999</v>
      </c>
      <c r="D18" s="11">
        <f t="shared" si="0"/>
        <v>2.5558064001555891E-3</v>
      </c>
      <c r="F18" s="12" t="str">
        <f>INDEX(Data!$N$3:$O$228,ROWS(Data!$L$3:L14)-1+Dashboard!$F$3,COLUMNS(Dashboard!$F$3:F14))</f>
        <v>Chandarana Signature</v>
      </c>
      <c r="G18" s="14">
        <f>INDEX(Data!$N$3:$O$228,ROWS(Data!$L$3:M14)-1+Dashboard!$F$3,COLUMNS(Dashboard!$F$3:G14))</f>
        <v>209890.58</v>
      </c>
      <c r="H18" s="13">
        <f t="shared" si="1"/>
        <v>5.0746246455297198E-3</v>
      </c>
      <c r="J18" s="12" t="str">
        <f>INDEX(Data!$AC$3:$AE$228,Dashboard!$J$3+ROWS(Dashboard!$I$7:I18)-1,COLUMNS(Dashboard!$I$7:I18))</f>
        <v>Carrefour Westgate</v>
      </c>
      <c r="K18" s="14">
        <f>INDEX(Data!$AC$3:$AE$228,Dashboard!$J$3+ROWS(Dashboard!$I$7:J18)-1,COLUMNS(Dashboard!$I$7:J18))</f>
        <v>630815.28</v>
      </c>
      <c r="L18" s="13">
        <f t="shared" si="2"/>
        <v>1.5251521848501877E-2</v>
      </c>
    </row>
    <row r="19" spans="2:13" s="1" customFormat="1" ht="16.5" x14ac:dyDescent="0.3">
      <c r="B19" s="9" t="str">
        <f>Formula_Unique_Values!D10</f>
        <v>Leestar</v>
      </c>
      <c r="C19" s="10">
        <f>SUMPRODUCT((Table1[Chain]=B19)*(Table1[Value]))</f>
        <v>78356.140000000014</v>
      </c>
      <c r="D19" s="11">
        <f t="shared" si="0"/>
        <v>1.894453763349347E-3</v>
      </c>
      <c r="F19" s="12" t="str">
        <f>INDEX(Data!$N$3:$O$228,ROWS(Data!$L$3:L15)-1+Dashboard!$F$3,COLUMNS(Dashboard!$F$3:F15))</f>
        <v>Chandarana Ngara</v>
      </c>
      <c r="G19" s="14">
        <f>INDEX(Data!$N$3:$O$228,ROWS(Data!$L$3:M15)-1+Dashboard!$F$3,COLUMNS(Dashboard!$F$3:G15))</f>
        <v>190291.43</v>
      </c>
      <c r="H19" s="13">
        <f t="shared" si="1"/>
        <v>4.6007666495137302E-3</v>
      </c>
      <c r="J19" s="12" t="str">
        <f>INDEX(Data!$AC$3:$AE$228,Dashboard!$J$3+ROWS(Dashboard!$I$7:I19)-1,COLUMNS(Dashboard!$I$7:I19))</f>
        <v>Chandarana Lavington</v>
      </c>
      <c r="K19" s="14">
        <f>INDEX(Data!$AC$3:$AE$228,Dashboard!$J$3+ROWS(Dashboard!$I$7:J19)-1,COLUMNS(Dashboard!$I$7:J19))</f>
        <v>590588.23</v>
      </c>
      <c r="L19" s="13">
        <f t="shared" si="2"/>
        <v>1.4278933277128371E-2</v>
      </c>
    </row>
    <row r="20" spans="2:13" ht="16.5" x14ac:dyDescent="0.3">
      <c r="B20" s="9" t="str">
        <f>Formula_Unique_Values!D14</f>
        <v>Game</v>
      </c>
      <c r="C20" s="10">
        <f>SUMPRODUCT((Table1[Chain]=B20)*(Table1[Value]))</f>
        <v>4055.18</v>
      </c>
      <c r="D20" s="11">
        <f t="shared" si="0"/>
        <v>9.8044020699067147E-5</v>
      </c>
      <c r="F20" s="12" t="str">
        <f>INDEX(Data!$N$3:$O$228,ROWS(Data!$L$3:L16)-1+Dashboard!$F$3,COLUMNS(Dashboard!$F$3:F16))</f>
        <v>Chandarana Westend</v>
      </c>
      <c r="G20" s="14">
        <f>INDEX(Data!$N$3:$O$228,ROWS(Data!$L$3:M16)-1+Dashboard!$F$3,COLUMNS(Dashboard!$F$3:G16))</f>
        <v>166184.92000000001</v>
      </c>
      <c r="H20" s="13">
        <f t="shared" si="1"/>
        <v>4.0179320613025369E-3</v>
      </c>
      <c r="I20" s="1"/>
      <c r="J20" s="12" t="str">
        <f>INDEX(Data!$AC$3:$AE$228,Dashboard!$J$3+ROWS(Dashboard!$I$7:I20)-1,COLUMNS(Dashboard!$I$7:I20))</f>
        <v>Mathai Hq</v>
      </c>
      <c r="K20" s="14">
        <f>INDEX(Data!$AC$3:$AE$228,Dashboard!$J$3+ROWS(Dashboard!$I$7:J20)-1,COLUMNS(Dashboard!$I$7:J20))</f>
        <v>586802.57999999996</v>
      </c>
      <c r="L20" s="13">
        <f t="shared" si="2"/>
        <v>1.4187405811773092E-2</v>
      </c>
      <c r="M20" s="1"/>
    </row>
    <row r="21" spans="2:13" x14ac:dyDescent="0.25">
      <c r="B21" s="1" t="str">
        <f>Formula_Unique_Values!D16</f>
        <v/>
      </c>
    </row>
  </sheetData>
  <sortState xmlns:xlrd2="http://schemas.microsoft.com/office/spreadsheetml/2017/richdata2" ref="F7:G20">
    <sortCondition descending="1" ref="G7:G20"/>
  </sortState>
  <conditionalFormatting sqref="D7:D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{7309A606-FDC9-4223-9FD6-990AFC352715}</x14:id>
        </ext>
      </extLst>
    </cfRule>
  </conditionalFormatting>
  <conditionalFormatting sqref="J7:L20">
    <cfRule type="notContainsBlanks" dxfId="16" priority="9">
      <formula>LEN(TRIM(J7))&gt;0</formula>
    </cfRule>
  </conditionalFormatting>
  <conditionalFormatting sqref="F7:H20">
    <cfRule type="notContainsBlanks" dxfId="15" priority="8">
      <formula>LEN(TRIM(F7))&gt;0</formula>
    </cfRule>
  </conditionalFormatting>
  <conditionalFormatting sqref="H7:H2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{5C7B6098-F591-498A-B533-5CC5B478E69D}</x14:id>
        </ext>
      </extLst>
    </cfRule>
  </conditionalFormatting>
  <conditionalFormatting sqref="L7:L2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{D8A43503-B5AD-4D9E-948B-355882421582}</x14:id>
        </ext>
      </extLst>
    </cfRule>
  </conditionalFormatting>
  <conditionalFormatting sqref="F4:G4">
    <cfRule type="expression" dxfId="14" priority="5">
      <formula>$G$3=80</formula>
    </cfRule>
    <cfRule type="expression" dxfId="13" priority="4">
      <formula>$G$3=18</formula>
    </cfRule>
    <cfRule type="expression" dxfId="12" priority="3">
      <formula>$G$3=27</formula>
    </cfRule>
    <cfRule type="expression" dxfId="11" priority="2">
      <formula>$G$3=59</formula>
    </cfRule>
  </conditionalFormatting>
  <conditionalFormatting sqref="F4:G4">
    <cfRule type="expression" dxfId="10" priority="1">
      <formula>$G$3=12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TextBox1">
          <controlPr defaultSize="0" autoLine="0" linkedCell="Data!Z2" r:id="rId5">
            <anchor moveWithCells="1">
              <from>
                <xdr:col>9</xdr:col>
                <xdr:colOff>114300</xdr:colOff>
                <xdr:row>2</xdr:row>
                <xdr:rowOff>47625</xdr:rowOff>
              </from>
              <to>
                <xdr:col>10</xdr:col>
                <xdr:colOff>657225</xdr:colOff>
                <xdr:row>3</xdr:row>
                <xdr:rowOff>123825</xdr:rowOff>
              </to>
            </anchor>
          </controlPr>
        </control>
      </mc:Choice>
      <mc:Fallback>
        <control shapeId="5121" r:id="rId4" name="TextBox1"/>
      </mc:Fallback>
    </mc:AlternateContent>
    <mc:AlternateContent xmlns:mc="http://schemas.openxmlformats.org/markup-compatibility/2006">
      <mc:Choice Requires="x14">
        <control shapeId="5122" r:id="rId6" name="Scroll Bar 2">
          <controlPr defaultSize="0" autoPict="0">
            <anchor moveWithCells="1">
              <from>
                <xdr:col>4</xdr:col>
                <xdr:colOff>428625</xdr:colOff>
                <xdr:row>5</xdr:row>
                <xdr:rowOff>0</xdr:rowOff>
              </from>
              <to>
                <xdr:col>4</xdr:col>
                <xdr:colOff>600075</xdr:colOff>
                <xdr:row>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7" name="Scroll Bar 3">
          <controlPr defaultSize="0" autoPict="0">
            <anchor moveWithCells="1">
              <from>
                <xdr:col>8</xdr:col>
                <xdr:colOff>428625</xdr:colOff>
                <xdr:row>5</xdr:row>
                <xdr:rowOff>19050</xdr:rowOff>
              </from>
              <to>
                <xdr:col>8</xdr:col>
                <xdr:colOff>600075</xdr:colOff>
                <xdr:row>19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09A606-FDC9-4223-9FD6-990AFC352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D7:D20</xm:sqref>
        </x14:conditionalFormatting>
        <x14:conditionalFormatting xmlns:xm="http://schemas.microsoft.com/office/excel/2006/main">
          <x14:cfRule type="dataBar" id="{5C7B6098-F591-498A-B533-5CC5B478E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H7:H20</xm:sqref>
        </x14:conditionalFormatting>
        <x14:conditionalFormatting xmlns:xm="http://schemas.microsoft.com/office/excel/2006/main">
          <x14:cfRule type="dataBar" id="{D8A43503-B5AD-4D9E-948B-355882421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L7:L20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7F8A-A17E-4FE3-A8AA-148496ACC987}">
  <sheetPr codeName="Sheet1"/>
  <dimension ref="A1:AE571"/>
  <sheetViews>
    <sheetView topLeftCell="E1" workbookViewId="0">
      <selection activeCell="K3" sqref="K3"/>
    </sheetView>
  </sheetViews>
  <sheetFormatPr defaultRowHeight="12.75" x14ac:dyDescent="0.2"/>
  <cols>
    <col min="1" max="1" width="10.7109375" style="1" bestFit="1" customWidth="1"/>
    <col min="2" max="2" width="24.85546875" style="1" bestFit="1" customWidth="1"/>
    <col min="3" max="3" width="20.7109375" style="1" customWidth="1"/>
    <col min="4" max="4" width="11" style="1" customWidth="1"/>
    <col min="5" max="5" width="13.28515625" style="1" bestFit="1" customWidth="1"/>
    <col min="6" max="6" width="10.7109375" style="1" bestFit="1" customWidth="1"/>
    <col min="7" max="7" width="31" style="1" bestFit="1" customWidth="1"/>
    <col min="8" max="8" width="16" style="3" bestFit="1" customWidth="1"/>
    <col min="9" max="9" width="16" style="1" bestFit="1" customWidth="1"/>
    <col min="10" max="10" width="9.140625" style="1"/>
    <col min="11" max="11" width="8.5703125" style="1" bestFit="1" customWidth="1"/>
    <col min="12" max="13" width="9.140625" style="1"/>
    <col min="14" max="14" width="24.85546875" style="1" bestFit="1" customWidth="1"/>
    <col min="15" max="15" width="14.28515625" style="1" bestFit="1" customWidth="1"/>
    <col min="16" max="16" width="8.85546875" style="1" bestFit="1" customWidth="1"/>
    <col min="17" max="21" width="9.140625" style="1"/>
    <col min="22" max="22" width="14.140625" style="1" bestFit="1" customWidth="1"/>
    <col min="23" max="25" width="9.140625" style="1"/>
    <col min="26" max="26" width="16.140625" style="1" bestFit="1" customWidth="1"/>
    <col min="27" max="28" width="9.140625" style="1"/>
    <col min="29" max="29" width="19.42578125" style="1" customWidth="1"/>
    <col min="30" max="16384" width="9.140625" style="1"/>
  </cols>
  <sheetData>
    <row r="1" spans="1:31" x14ac:dyDescent="0.2">
      <c r="K1" s="1" t="s">
        <v>255</v>
      </c>
      <c r="S1" s="1" t="s">
        <v>248</v>
      </c>
    </row>
    <row r="2" spans="1:31" x14ac:dyDescent="0.2">
      <c r="A2" s="1" t="s">
        <v>0</v>
      </c>
      <c r="B2" s="1" t="s">
        <v>246</v>
      </c>
      <c r="C2" s="1" t="s">
        <v>248</v>
      </c>
      <c r="D2" s="1" t="s">
        <v>1</v>
      </c>
      <c r="E2" s="1" t="s">
        <v>2</v>
      </c>
      <c r="F2" s="1" t="s">
        <v>247</v>
      </c>
      <c r="K2" s="1" t="str">
        <f>Formula_Unique_Values!D20</f>
        <v>Chandarana</v>
      </c>
      <c r="Z2" s="1" t="s">
        <v>259</v>
      </c>
    </row>
    <row r="3" spans="1:31" x14ac:dyDescent="0.2">
      <c r="A3" s="2">
        <v>44743</v>
      </c>
      <c r="B3" s="1" t="s">
        <v>19</v>
      </c>
      <c r="C3" s="1" t="s">
        <v>3</v>
      </c>
      <c r="D3" s="1">
        <v>132549</v>
      </c>
      <c r="E3" s="3">
        <v>30652.68</v>
      </c>
      <c r="F3" s="1" t="s">
        <v>4</v>
      </c>
      <c r="G3" s="1" t="s">
        <v>109</v>
      </c>
      <c r="H3" s="3">
        <f>SUMIFS(Table1[Value],Table1[Outlets],G3)</f>
        <v>6282830.25</v>
      </c>
      <c r="I3" s="1" t="str">
        <f>IFERROR(VLOOKUP(G3,Table1[[Outlets]:[Region]],2,0),"")</f>
        <v>Nairobi</v>
      </c>
      <c r="K3" s="1" t="b">
        <f t="shared" ref="K3:K66" si="0">AND($K$2&lt;&gt;"",ISNUMBER(SEARCH($K$2,G3)))</f>
        <v>0</v>
      </c>
      <c r="L3" s="1" t="str">
        <f>IF(K3=TRUE,ROWS($J$3:J3),"")</f>
        <v/>
      </c>
      <c r="M3" s="1">
        <f>IFERROR(SMALL($L$3:$L$228,ROWS($L$3:L3)),"")</f>
        <v>10</v>
      </c>
      <c r="N3" s="1" t="str">
        <f>IF(M3&lt;&gt;"",INDEX($G$3:$I$228,MATCH($M3,$L$3:$L$228,0),COLUMNS($L$3:L3)),"")</f>
        <v>Chandarana Yaya</v>
      </c>
      <c r="O3" s="3">
        <f>IF(N3&lt;&gt;"",INDEX($G$3:$I$228,MATCH($M3,$L$3:$L$228,0),COLUMNS($L$3:M3)),"")</f>
        <v>776256.23</v>
      </c>
      <c r="P3" s="1" t="str">
        <f>IF(O3&lt;&gt;"",INDEX($G$3:$I$228,MATCH($M3,$L$3:$L$228,0),COLUMNS($L$3:N3)),"")</f>
        <v>Nairobi</v>
      </c>
      <c r="S3" s="1" t="b">
        <f>AND($S$2&lt;&gt;"",ISNUMBER(SEARCH($S$2,I3)))</f>
        <v>0</v>
      </c>
      <c r="T3" s="1" t="str">
        <f>IF(S3=TRUE,ROWS($S$3:S3),"")</f>
        <v/>
      </c>
      <c r="U3" s="1" t="str">
        <f>IFERROR(SMALL($T$3:$T$228,ROWS($T$3:T3)),"")</f>
        <v/>
      </c>
      <c r="V3" s="1" t="str">
        <f>IF(U3&lt;&gt;"",INDEX($G$3:$I$228,MATCH($U3,$T$3:$T$228,0),COLUMNS($U$3:U3)),"")</f>
        <v/>
      </c>
      <c r="W3" s="1" t="str">
        <f>IF(V3&lt;&gt;"",INDEX($G$3:$I$228,MATCH($U3,$T$3:$T$228,0),COLUMNS($U$3:V3)),"")</f>
        <v/>
      </c>
      <c r="X3" s="1" t="str">
        <f>IF(W3&lt;&gt;"",INDEX($G$3:$I$228,MATCH($U3,$T$3:$T$228,0),COLUMNS($U$3:W3)),"")</f>
        <v/>
      </c>
      <c r="Z3" s="1" t="b">
        <f>IF($Z$2="",TRUE,ISNUMBER(SEARCH($Z$2,G3)))</f>
        <v>1</v>
      </c>
      <c r="AA3" s="1">
        <f>IF(Z3=TRUE,ROWS($Z$3:Z3),"")</f>
        <v>1</v>
      </c>
      <c r="AB3" s="1">
        <f>IFERROR(SMALL($AA$3:$AA$228,ROWS($AA$3:AA3)),"")</f>
        <v>1</v>
      </c>
      <c r="AC3" s="1" t="str">
        <f>IF(AB3&lt;&gt;"",INDEX($G$3:$I$228,MATCH($AB3,$AA$3:$AA$228,0),COLUMNS($AA$3:AA3)),"")</f>
        <v>Naivas Hq</v>
      </c>
      <c r="AD3" s="1">
        <f>IF(AC3&lt;&gt;"",INDEX($G$3:$I$228,MATCH($AB3,$AA$3:$AA$228,0),COLUMNS($AA$3:AB3)),"")</f>
        <v>6282830.25</v>
      </c>
      <c r="AE3" s="1" t="str">
        <f>IF(AD3&lt;&gt;"",INDEX($G$3:$I$228,MATCH($AB3,$AA$3:$AA$228,0),COLUMNS($AA$3:AC3)),"")</f>
        <v>Nairobi</v>
      </c>
    </row>
    <row r="4" spans="1:31" x14ac:dyDescent="0.2">
      <c r="A4" s="2">
        <v>44743</v>
      </c>
      <c r="B4" s="1" t="s">
        <v>20</v>
      </c>
      <c r="C4" s="1" t="s">
        <v>3</v>
      </c>
      <c r="D4" s="1">
        <v>132548</v>
      </c>
      <c r="E4" s="3">
        <v>77241.789999999994</v>
      </c>
      <c r="F4" s="1" t="s">
        <v>4</v>
      </c>
      <c r="G4" s="1" t="s">
        <v>65</v>
      </c>
      <c r="H4" s="3">
        <f>SUMIFS(Table1[Value],Table1[Outlets],G4)</f>
        <v>2460557.58</v>
      </c>
      <c r="I4" s="1" t="str">
        <f>IFERROR(VLOOKUP(G4,Table1[[Outlets]:[Region]],2,0),"")</f>
        <v>Nairobi</v>
      </c>
      <c r="K4" s="1" t="b">
        <f t="shared" si="0"/>
        <v>0</v>
      </c>
      <c r="L4" s="1" t="str">
        <f>IF(K4=TRUE,ROWS($J$3:J4),"")</f>
        <v/>
      </c>
      <c r="M4" s="1">
        <f>IFERROR(SMALL($L$3:$L$228,ROWS($L$3:L4)),"")</f>
        <v>13</v>
      </c>
      <c r="N4" s="1" t="str">
        <f>IF(M4&lt;&gt;"",INDEX($G$3:$I$228,MATCH($M4,$L$3:$L$228,0),COLUMNS($L$3:L4)),"")</f>
        <v>Chandarana Lavington</v>
      </c>
      <c r="O4" s="3">
        <f>IF(N4&lt;&gt;"",INDEX($G$3:$I$228,MATCH($M4,$L$3:$L$228,0),COLUMNS($L$3:M4)),"")</f>
        <v>590588.23</v>
      </c>
      <c r="P4" s="1" t="str">
        <f>IF(O4&lt;&gt;"",INDEX($G$3:$I$228,MATCH($M4,$L$3:$L$228,0),COLUMNS($L$3:N4)),"")</f>
        <v>Nairobi</v>
      </c>
      <c r="S4" s="1" t="b">
        <f t="shared" ref="S4:S67" si="1">AND($S$2&lt;&gt;"",ISNUMBER(SEARCH($S$2,I4)))</f>
        <v>0</v>
      </c>
      <c r="T4" s="1" t="str">
        <f>IF(S4=TRUE,ROWS($S$3:S4),"")</f>
        <v/>
      </c>
      <c r="U4" s="1" t="str">
        <f>IFERROR(SMALL($T$3:$T$228,ROWS($T$3:T4)),"")</f>
        <v/>
      </c>
      <c r="V4" s="1" t="str">
        <f>IF(U4&lt;&gt;"",INDEX($G$3:$I$228,MATCH($U4,$T$3:$T$228,0),COLUMNS($U$3:U4)),"")</f>
        <v/>
      </c>
      <c r="W4" s="1" t="str">
        <f>IF(V4&lt;&gt;"",INDEX($G$3:$I$228,MATCH($U4,$T$3:$T$228,0),COLUMNS($U$3:V4)),"")</f>
        <v/>
      </c>
      <c r="X4" s="1" t="str">
        <f>IF(W4&lt;&gt;"",INDEX($G$3:$I$228,MATCH($U4,$T$3:$T$228,0),COLUMNS($U$3:W4)),"")</f>
        <v/>
      </c>
      <c r="Z4" s="1" t="b">
        <f t="shared" ref="Z4:Z67" si="2">IF($Z$2="",TRUE,ISNUMBER(SEARCH($Z$2,G4)))</f>
        <v>1</v>
      </c>
      <c r="AA4" s="1">
        <f>IF(Z4=TRUE,ROWS($Z$3:Z4),"")</f>
        <v>2</v>
      </c>
      <c r="AB4" s="1">
        <f>IFERROR(SMALL($AA$3:$AA$228,ROWS($AA$3:AA4)),"")</f>
        <v>2</v>
      </c>
      <c r="AC4" s="1" t="str">
        <f>IF(AB4&lt;&gt;"",INDEX($G$3:$I$228,MATCH($AB4,$AA$3:$AA$228,0),COLUMNS($AA$3:AA4)),"")</f>
        <v>Carrefour Junction</v>
      </c>
      <c r="AD4" s="1">
        <f>IF(AC4&lt;&gt;"",INDEX($G$3:$I$228,MATCH($AB4,$AA$3:$AA$228,0),COLUMNS($AA$3:AB4)),"")</f>
        <v>2460557.58</v>
      </c>
      <c r="AE4" s="1" t="str">
        <f>IF(AD4&lt;&gt;"",INDEX($G$3:$I$228,MATCH($AB4,$AA$3:$AA$228,0),COLUMNS($AA$3:AC4)),"")</f>
        <v>Nairobi</v>
      </c>
    </row>
    <row r="5" spans="1:31" x14ac:dyDescent="0.2">
      <c r="A5" s="2">
        <v>44743</v>
      </c>
      <c r="B5" s="1" t="s">
        <v>21</v>
      </c>
      <c r="C5" s="1" t="s">
        <v>3</v>
      </c>
      <c r="D5" s="1">
        <v>132544</v>
      </c>
      <c r="E5" s="3">
        <v>33740.51</v>
      </c>
      <c r="F5" s="1" t="s">
        <v>4</v>
      </c>
      <c r="G5" s="1" t="s">
        <v>68</v>
      </c>
      <c r="H5" s="3">
        <f>SUMIFS(Table1[Value],Table1[Outlets],G5)</f>
        <v>2419659.7799999998</v>
      </c>
      <c r="I5" s="1" t="str">
        <f>IFERROR(VLOOKUP(G5,Table1[[Outlets]:[Region]],2,0),"")</f>
        <v>Nairobi</v>
      </c>
      <c r="K5" s="1" t="b">
        <f t="shared" si="0"/>
        <v>0</v>
      </c>
      <c r="L5" s="1" t="str">
        <f>IF(K5=TRUE,ROWS($J$3:J5),"")</f>
        <v/>
      </c>
      <c r="M5" s="1">
        <f>IFERROR(SMALL($L$3:$L$228,ROWS($L$3:L5)),"")</f>
        <v>15</v>
      </c>
      <c r="N5" s="1" t="str">
        <f>IF(M5&lt;&gt;"",INDEX($G$3:$I$228,MATCH($M5,$L$3:$L$228,0),COLUMNS($L$3:L5)),"")</f>
        <v>Chandarana Diamond</v>
      </c>
      <c r="O5" s="3">
        <f>IF(N5&lt;&gt;"",INDEX($G$3:$I$228,MATCH($M5,$L$3:$L$228,0),COLUMNS($L$3:M5)),"")</f>
        <v>569651.96</v>
      </c>
      <c r="P5" s="1" t="str">
        <f>IF(O5&lt;&gt;"",INDEX($G$3:$I$228,MATCH($M5,$L$3:$L$228,0),COLUMNS($L$3:N5)),"")</f>
        <v>Nairobi</v>
      </c>
      <c r="S5" s="1" t="b">
        <f t="shared" si="1"/>
        <v>0</v>
      </c>
      <c r="T5" s="1" t="str">
        <f>IF(S5=TRUE,ROWS($S$3:S5),"")</f>
        <v/>
      </c>
      <c r="U5" s="1" t="str">
        <f>IFERROR(SMALL($T$3:$T$228,ROWS($T$3:T5)),"")</f>
        <v/>
      </c>
      <c r="V5" s="1" t="str">
        <f>IF(U5&lt;&gt;"",INDEX($G$3:$I$228,MATCH($U5,$T$3:$T$228,0),COLUMNS($U$3:U5)),"")</f>
        <v/>
      </c>
      <c r="W5" s="1" t="str">
        <f>IF(V5&lt;&gt;"",INDEX($G$3:$I$228,MATCH($U5,$T$3:$T$228,0),COLUMNS($U$3:V5)),"")</f>
        <v/>
      </c>
      <c r="X5" s="1" t="str">
        <f>IF(W5&lt;&gt;"",INDEX($G$3:$I$228,MATCH($U5,$T$3:$T$228,0),COLUMNS($U$3:W5)),"")</f>
        <v/>
      </c>
      <c r="Z5" s="1" t="b">
        <f t="shared" si="2"/>
        <v>1</v>
      </c>
      <c r="AA5" s="1">
        <f>IF(Z5=TRUE,ROWS($Z$3:Z5),"")</f>
        <v>3</v>
      </c>
      <c r="AB5" s="1">
        <f>IFERROR(SMALL($AA$3:$AA$228,ROWS($AA$3:AA5)),"")</f>
        <v>3</v>
      </c>
      <c r="AC5" s="1" t="str">
        <f>IF(AB5&lt;&gt;"",INDEX($G$3:$I$228,MATCH($AB5,$AA$3:$AA$228,0),COLUMNS($AA$3:AA5)),"")</f>
        <v>Carrefour Sarit</v>
      </c>
      <c r="AD5" s="1">
        <f>IF(AC5&lt;&gt;"",INDEX($G$3:$I$228,MATCH($AB5,$AA$3:$AA$228,0),COLUMNS($AA$3:AB5)),"")</f>
        <v>2419659.7799999998</v>
      </c>
      <c r="AE5" s="1" t="str">
        <f>IF(AD5&lt;&gt;"",INDEX($G$3:$I$228,MATCH($AB5,$AA$3:$AA$228,0),COLUMNS($AA$3:AC5)),"")</f>
        <v>Nairobi</v>
      </c>
    </row>
    <row r="6" spans="1:31" x14ac:dyDescent="0.2">
      <c r="A6" s="2">
        <v>44743</v>
      </c>
      <c r="B6" s="1" t="s">
        <v>22</v>
      </c>
      <c r="C6" s="1" t="s">
        <v>3</v>
      </c>
      <c r="D6" s="1">
        <v>132539</v>
      </c>
      <c r="E6" s="3">
        <v>42493.98</v>
      </c>
      <c r="F6" s="1" t="s">
        <v>11</v>
      </c>
      <c r="G6" s="1" t="s">
        <v>244</v>
      </c>
      <c r="H6" s="3">
        <f>SUMIFS(Table1[Value],Table1[Outlets],G6)</f>
        <v>2305557.38</v>
      </c>
      <c r="I6" s="1" t="str">
        <f>IFERROR(VLOOKUP(G6,Table1[[Outlets]:[Region]],2,0),"")</f>
        <v>Nairobi</v>
      </c>
      <c r="K6" s="1" t="b">
        <f t="shared" si="0"/>
        <v>0</v>
      </c>
      <c r="L6" s="1" t="str">
        <f>IF(K6=TRUE,ROWS($J$3:J6),"")</f>
        <v/>
      </c>
      <c r="M6" s="1">
        <f>IFERROR(SMALL($L$3:$L$228,ROWS($L$3:L6)),"")</f>
        <v>17</v>
      </c>
      <c r="N6" s="1" t="str">
        <f>IF(M6&lt;&gt;"",INDEX($G$3:$I$228,MATCH($M6,$L$3:$L$228,0),COLUMNS($L$3:L6)),"")</f>
        <v>Chandarana Adlife</v>
      </c>
      <c r="O6" s="3">
        <f>IF(N6&lt;&gt;"",INDEX($G$3:$I$228,MATCH($M6,$L$3:$L$228,0),COLUMNS($L$3:M6)),"")</f>
        <v>492427.43999999994</v>
      </c>
      <c r="P6" s="1" t="str">
        <f>IF(O6&lt;&gt;"",INDEX($G$3:$I$228,MATCH($M6,$L$3:$L$228,0),COLUMNS($L$3:N6)),"")</f>
        <v>Nairobi</v>
      </c>
      <c r="S6" s="1" t="b">
        <f t="shared" si="1"/>
        <v>0</v>
      </c>
      <c r="T6" s="1" t="str">
        <f>IF(S6=TRUE,ROWS($S$3:S6),"")</f>
        <v/>
      </c>
      <c r="U6" s="1" t="str">
        <f>IFERROR(SMALL($T$3:$T$228,ROWS($T$3:T6)),"")</f>
        <v/>
      </c>
      <c r="V6" s="1" t="str">
        <f>IF(U6&lt;&gt;"",INDEX($G$3:$I$228,MATCH($U6,$T$3:$T$228,0),COLUMNS($U$3:U6)),"")</f>
        <v/>
      </c>
      <c r="W6" s="1" t="str">
        <f>IF(V6&lt;&gt;"",INDEX($G$3:$I$228,MATCH($U6,$T$3:$T$228,0),COLUMNS($U$3:V6)),"")</f>
        <v/>
      </c>
      <c r="X6" s="1" t="str">
        <f>IF(W6&lt;&gt;"",INDEX($G$3:$I$228,MATCH($U6,$T$3:$T$228,0),COLUMNS($U$3:W6)),"")</f>
        <v/>
      </c>
      <c r="Z6" s="1" t="b">
        <f t="shared" si="2"/>
        <v>1</v>
      </c>
      <c r="AA6" s="1">
        <f>IF(Z6=TRUE,ROWS($Z$3:Z6),"")</f>
        <v>4</v>
      </c>
      <c r="AB6" s="1">
        <f>IFERROR(SMALL($AA$3:$AA$228,ROWS($AA$3:AA6)),"")</f>
        <v>4</v>
      </c>
      <c r="AC6" s="1" t="str">
        <f>IF(AB6&lt;&gt;"",INDEX($G$3:$I$228,MATCH($AB6,$AA$3:$AA$228,0),COLUMNS($AA$3:AA6)),"")</f>
        <v>Naivas Mombasa</v>
      </c>
      <c r="AD6" s="1">
        <f>IF(AC6&lt;&gt;"",INDEX($G$3:$I$228,MATCH($AB6,$AA$3:$AA$228,0),COLUMNS($AA$3:AB6)),"")</f>
        <v>2305557.38</v>
      </c>
      <c r="AE6" s="1" t="str">
        <f>IF(AD6&lt;&gt;"",INDEX($G$3:$I$228,MATCH($AB6,$AA$3:$AA$228,0),COLUMNS($AA$3:AC6)),"")</f>
        <v>Nairobi</v>
      </c>
    </row>
    <row r="7" spans="1:31" x14ac:dyDescent="0.2">
      <c r="A7" s="2">
        <v>44743</v>
      </c>
      <c r="B7" s="1" t="s">
        <v>23</v>
      </c>
      <c r="C7" s="1" t="s">
        <v>3</v>
      </c>
      <c r="D7" s="1">
        <v>132536</v>
      </c>
      <c r="E7" s="3">
        <v>10052.85</v>
      </c>
      <c r="F7" s="1" t="s">
        <v>11</v>
      </c>
      <c r="G7" s="1" t="s">
        <v>25</v>
      </c>
      <c r="H7" s="3">
        <f>SUMIFS(Table1[Value],Table1[Outlets],G7)</f>
        <v>1214182.52</v>
      </c>
      <c r="I7" s="1" t="str">
        <f>IFERROR(VLOOKUP(G7,Table1[[Outlets]:[Region]],2,0),"")</f>
        <v>Nairobi</v>
      </c>
      <c r="K7" s="1" t="b">
        <f t="shared" si="0"/>
        <v>0</v>
      </c>
      <c r="L7" s="1" t="str">
        <f>IF(K7=TRUE,ROWS($J$3:J7),"")</f>
        <v/>
      </c>
      <c r="M7" s="1">
        <f>IFERROR(SMALL($L$3:$L$228,ROWS($L$3:L7)),"")</f>
        <v>21</v>
      </c>
      <c r="N7" s="1" t="str">
        <f>IF(M7&lt;&gt;"",INDEX($G$3:$I$228,MATCH($M7,$L$3:$L$228,0),COLUMNS($L$3:L7)),"")</f>
        <v>Chandarana Nyali</v>
      </c>
      <c r="O7" s="3">
        <f>IF(N7&lt;&gt;"",INDEX($G$3:$I$228,MATCH($M7,$L$3:$L$228,0),COLUMNS($L$3:M7)),"")</f>
        <v>383305.79000000004</v>
      </c>
      <c r="P7" s="1" t="str">
        <f>IF(O7&lt;&gt;"",INDEX($G$3:$I$228,MATCH($M7,$L$3:$L$228,0),COLUMNS($L$3:N7)),"")</f>
        <v>Coast</v>
      </c>
      <c r="S7" s="1" t="b">
        <f t="shared" si="1"/>
        <v>0</v>
      </c>
      <c r="T7" s="1" t="str">
        <f>IF(S7=TRUE,ROWS($S$3:S7),"")</f>
        <v/>
      </c>
      <c r="U7" s="1" t="str">
        <f>IFERROR(SMALL($T$3:$T$228,ROWS($T$3:T7)),"")</f>
        <v/>
      </c>
      <c r="V7" s="1" t="str">
        <f>IF(U7&lt;&gt;"",INDEX($G$3:$I$228,MATCH($U7,$T$3:$T$228,0),COLUMNS($U$3:U7)),"")</f>
        <v/>
      </c>
      <c r="W7" s="1" t="str">
        <f>IF(V7&lt;&gt;"",INDEX($G$3:$I$228,MATCH($U7,$T$3:$T$228,0),COLUMNS($U$3:V7)),"")</f>
        <v/>
      </c>
      <c r="X7" s="1" t="str">
        <f>IF(W7&lt;&gt;"",INDEX($G$3:$I$228,MATCH($U7,$T$3:$T$228,0),COLUMNS($U$3:W7)),"")</f>
        <v/>
      </c>
      <c r="Z7" s="1" t="b">
        <f t="shared" si="2"/>
        <v>1</v>
      </c>
      <c r="AA7" s="1">
        <f>IF(Z7=TRUE,ROWS($Z$3:Z7),"")</f>
        <v>5</v>
      </c>
      <c r="AB7" s="1">
        <f>IFERROR(SMALL($AA$3:$AA$228,ROWS($AA$3:AA7)),"")</f>
        <v>5</v>
      </c>
      <c r="AC7" s="1" t="str">
        <f>IF(AB7&lt;&gt;"",INDEX($G$3:$I$228,MATCH($AB7,$AA$3:$AA$228,0),COLUMNS($AA$3:AA7)),"")</f>
        <v>Carrefour Two Rivers</v>
      </c>
      <c r="AD7" s="1">
        <f>IF(AC7&lt;&gt;"",INDEX($G$3:$I$228,MATCH($AB7,$AA$3:$AA$228,0),COLUMNS($AA$3:AB7)),"")</f>
        <v>1214182.52</v>
      </c>
      <c r="AE7" s="1" t="str">
        <f>IF(AD7&lt;&gt;"",INDEX($G$3:$I$228,MATCH($AB7,$AA$3:$AA$228,0),COLUMNS($AA$3:AC7)),"")</f>
        <v>Nairobi</v>
      </c>
    </row>
    <row r="8" spans="1:31" x14ac:dyDescent="0.2">
      <c r="A8" s="2">
        <v>44744</v>
      </c>
      <c r="B8" s="1" t="s">
        <v>24</v>
      </c>
      <c r="C8" s="1" t="s">
        <v>3</v>
      </c>
      <c r="D8" s="1">
        <v>132555</v>
      </c>
      <c r="E8" s="3">
        <v>233163.1</v>
      </c>
      <c r="F8" s="1" t="s">
        <v>4</v>
      </c>
      <c r="G8" s="1" t="s">
        <v>66</v>
      </c>
      <c r="H8" s="3">
        <f>SUMIFS(Table1[Value],Table1[Outlets],G8)</f>
        <v>967068.2</v>
      </c>
      <c r="I8" s="1" t="str">
        <f>IFERROR(VLOOKUP(G8,Table1[[Outlets]:[Region]],2,0),"")</f>
        <v>Nairobi</v>
      </c>
      <c r="K8" s="1" t="b">
        <f t="shared" si="0"/>
        <v>0</v>
      </c>
      <c r="L8" s="1" t="str">
        <f>IF(K8=TRUE,ROWS($J$3:J8),"")</f>
        <v/>
      </c>
      <c r="M8" s="1">
        <f>IFERROR(SMALL($L$3:$L$228,ROWS($L$3:L8)),"")</f>
        <v>24</v>
      </c>
      <c r="N8" s="1" t="str">
        <f>IF(M8&lt;&gt;"",INDEX($G$3:$I$228,MATCH($M8,$L$3:$L$228,0),COLUMNS($L$3:L8)),"")</f>
        <v>Chandarana Nanyuki</v>
      </c>
      <c r="O8" s="3">
        <f>IF(N8&lt;&gt;"",INDEX($G$3:$I$228,MATCH($M8,$L$3:$L$228,0),COLUMNS($L$3:M8)),"")</f>
        <v>327928.5</v>
      </c>
      <c r="P8" s="1" t="str">
        <f>IF(O8&lt;&gt;"",INDEX($G$3:$I$228,MATCH($M8,$L$3:$L$228,0),COLUMNS($L$3:N8)),"")</f>
        <v>Central</v>
      </c>
      <c r="S8" s="1" t="b">
        <f t="shared" si="1"/>
        <v>0</v>
      </c>
      <c r="T8" s="1" t="str">
        <f>IF(S8=TRUE,ROWS($S$3:S8),"")</f>
        <v/>
      </c>
      <c r="U8" s="1" t="str">
        <f>IFERROR(SMALL($T$3:$T$228,ROWS($T$3:T8)),"")</f>
        <v/>
      </c>
      <c r="V8" s="1" t="str">
        <f>IF(U8&lt;&gt;"",INDEX($G$3:$I$228,MATCH($U8,$T$3:$T$228,0),COLUMNS($U$3:U8)),"")</f>
        <v/>
      </c>
      <c r="W8" s="1" t="str">
        <f>IF(V8&lt;&gt;"",INDEX($G$3:$I$228,MATCH($U8,$T$3:$T$228,0),COLUMNS($U$3:V8)),"")</f>
        <v/>
      </c>
      <c r="X8" s="1" t="str">
        <f>IF(W8&lt;&gt;"",INDEX($G$3:$I$228,MATCH($U8,$T$3:$T$228,0),COLUMNS($U$3:W8)),"")</f>
        <v/>
      </c>
      <c r="Z8" s="1" t="b">
        <f t="shared" si="2"/>
        <v>1</v>
      </c>
      <c r="AA8" s="1">
        <f>IF(Z8=TRUE,ROWS($Z$3:Z8),"")</f>
        <v>6</v>
      </c>
      <c r="AB8" s="1">
        <f>IFERROR(SMALL($AA$3:$AA$228,ROWS($AA$3:AA8)),"")</f>
        <v>6</v>
      </c>
      <c r="AC8" s="1" t="str">
        <f>IF(AB8&lt;&gt;"",INDEX($G$3:$I$228,MATCH($AB8,$AA$3:$AA$228,0),COLUMNS($AA$3:AA8)),"")</f>
        <v>Carrefour Karen</v>
      </c>
      <c r="AD8" s="1">
        <f>IF(AC8&lt;&gt;"",INDEX($G$3:$I$228,MATCH($AB8,$AA$3:$AA$228,0),COLUMNS($AA$3:AB8)),"")</f>
        <v>967068.2</v>
      </c>
      <c r="AE8" s="1" t="str">
        <f>IF(AD8&lt;&gt;"",INDEX($G$3:$I$228,MATCH($AB8,$AA$3:$AA$228,0),COLUMNS($AA$3:AC8)),"")</f>
        <v>Nairobi</v>
      </c>
    </row>
    <row r="9" spans="1:31" x14ac:dyDescent="0.2">
      <c r="A9" s="2">
        <v>44744</v>
      </c>
      <c r="B9" s="1" t="s">
        <v>25</v>
      </c>
      <c r="C9" s="1" t="s">
        <v>3</v>
      </c>
      <c r="D9" s="1">
        <v>132557</v>
      </c>
      <c r="E9" s="3">
        <v>163688.95999999999</v>
      </c>
      <c r="F9" s="1" t="s">
        <v>8</v>
      </c>
      <c r="G9" s="1" t="s">
        <v>69</v>
      </c>
      <c r="H9" s="3">
        <f>SUMIFS(Table1[Value],Table1[Outlets],G9)</f>
        <v>943278.21999999986</v>
      </c>
      <c r="I9" s="1" t="str">
        <f>IFERROR(VLOOKUP(G9,Table1[[Outlets]:[Region]],2,0),"")</f>
        <v>Nairobi</v>
      </c>
      <c r="K9" s="1" t="b">
        <f t="shared" si="0"/>
        <v>0</v>
      </c>
      <c r="L9" s="1" t="str">
        <f>IF(K9=TRUE,ROWS($J$3:J9),"")</f>
        <v/>
      </c>
      <c r="M9" s="1">
        <f>IFERROR(SMALL($L$3:$L$228,ROWS($L$3:L9)),"")</f>
        <v>25</v>
      </c>
      <c r="N9" s="1" t="str">
        <f>IF(M9&lt;&gt;"",INDEX($G$3:$I$228,MATCH($M9,$L$3:$L$228,0),COLUMNS($L$3:L9)),"")</f>
        <v>Chandarana Ridgeways</v>
      </c>
      <c r="O9" s="3">
        <f>IF(N9&lt;&gt;"",INDEX($G$3:$I$228,MATCH($M9,$L$3:$L$228,0),COLUMNS($L$3:M9)),"")</f>
        <v>322381.57</v>
      </c>
      <c r="P9" s="1" t="str">
        <f>IF(O9&lt;&gt;"",INDEX($G$3:$I$228,MATCH($M9,$L$3:$L$228,0),COLUMNS($L$3:N9)),"")</f>
        <v>Nairobi</v>
      </c>
      <c r="S9" s="1" t="b">
        <f t="shared" si="1"/>
        <v>0</v>
      </c>
      <c r="T9" s="1" t="str">
        <f>IF(S9=TRUE,ROWS($S$3:S9),"")</f>
        <v/>
      </c>
      <c r="U9" s="1" t="str">
        <f>IFERROR(SMALL($T$3:$T$228,ROWS($T$3:T9)),"")</f>
        <v/>
      </c>
      <c r="V9" s="1" t="str">
        <f>IF(U9&lt;&gt;"",INDEX($G$3:$I$228,MATCH($U9,$T$3:$T$228,0),COLUMNS($U$3:U9)),"")</f>
        <v/>
      </c>
      <c r="W9" s="1" t="str">
        <f>IF(V9&lt;&gt;"",INDEX($G$3:$I$228,MATCH($U9,$T$3:$T$228,0),COLUMNS($U$3:V9)),"")</f>
        <v/>
      </c>
      <c r="X9" s="1" t="str">
        <f>IF(W9&lt;&gt;"",INDEX($G$3:$I$228,MATCH($U9,$T$3:$T$228,0),COLUMNS($U$3:W9)),"")</f>
        <v/>
      </c>
      <c r="Z9" s="1" t="b">
        <f t="shared" si="2"/>
        <v>1</v>
      </c>
      <c r="AA9" s="1">
        <f>IF(Z9=TRUE,ROWS($Z$3:Z9),"")</f>
        <v>7</v>
      </c>
      <c r="AB9" s="1">
        <f>IFERROR(SMALL($AA$3:$AA$228,ROWS($AA$3:AA9)),"")</f>
        <v>7</v>
      </c>
      <c r="AC9" s="1" t="str">
        <f>IF(AB9&lt;&gt;"",INDEX($G$3:$I$228,MATCH($AB9,$AA$3:$AA$228,0),COLUMNS($AA$3:AA9)),"")</f>
        <v>Carrefour Galleria</v>
      </c>
      <c r="AD9" s="1">
        <f>IF(AC9&lt;&gt;"",INDEX($G$3:$I$228,MATCH($AB9,$AA$3:$AA$228,0),COLUMNS($AA$3:AB9)),"")</f>
        <v>943278.21999999986</v>
      </c>
      <c r="AE9" s="1" t="str">
        <f>IF(AD9&lt;&gt;"",INDEX($G$3:$I$228,MATCH($AB9,$AA$3:$AA$228,0),COLUMNS($AA$3:AC9)),"")</f>
        <v>Nairobi</v>
      </c>
    </row>
    <row r="10" spans="1:31" x14ac:dyDescent="0.2">
      <c r="A10" s="2">
        <v>44744</v>
      </c>
      <c r="B10" s="1" t="s">
        <v>26</v>
      </c>
      <c r="C10" s="1" t="s">
        <v>3</v>
      </c>
      <c r="D10" s="1">
        <v>132558</v>
      </c>
      <c r="E10" s="3">
        <v>87996.25</v>
      </c>
      <c r="F10" s="1" t="s">
        <v>11</v>
      </c>
      <c r="G10" s="1" t="s">
        <v>71</v>
      </c>
      <c r="H10" s="3">
        <f>SUMIFS(Table1[Value],Table1[Outlets],G10)</f>
        <v>934547.81</v>
      </c>
      <c r="I10" s="1" t="str">
        <f>IFERROR(VLOOKUP(G10,Table1[[Outlets]:[Region]],2,0),"")</f>
        <v>Nairobi</v>
      </c>
      <c r="K10" s="1" t="b">
        <f t="shared" si="0"/>
        <v>0</v>
      </c>
      <c r="L10" s="1" t="str">
        <f>IF(K10=TRUE,ROWS($J$3:J10),"")</f>
        <v/>
      </c>
      <c r="M10" s="1">
        <f>IFERROR(SMALL($L$3:$L$228,ROWS($L$3:L10)),"")</f>
        <v>28</v>
      </c>
      <c r="N10" s="1" t="str">
        <f>IF(M10&lt;&gt;"",INDEX($G$3:$I$228,MATCH($M10,$L$3:$L$228,0),COLUMNS($L$3:L10)),"")</f>
        <v>Chandarana Rhapta</v>
      </c>
      <c r="O10" s="3">
        <f>IF(N10&lt;&gt;"",INDEX($G$3:$I$228,MATCH($M10,$L$3:$L$228,0),COLUMNS($L$3:M10)),"")</f>
        <v>291717.65000000002</v>
      </c>
      <c r="P10" s="1" t="str">
        <f>IF(O10&lt;&gt;"",INDEX($G$3:$I$228,MATCH($M10,$L$3:$L$228,0),COLUMNS($L$3:N10)),"")</f>
        <v>Nairobi</v>
      </c>
      <c r="S10" s="1" t="b">
        <f t="shared" si="1"/>
        <v>0</v>
      </c>
      <c r="T10" s="1" t="str">
        <f>IF(S10=TRUE,ROWS($S$3:S10),"")</f>
        <v/>
      </c>
      <c r="U10" s="1" t="str">
        <f>IFERROR(SMALL($T$3:$T$228,ROWS($T$3:T10)),"")</f>
        <v/>
      </c>
      <c r="V10" s="1" t="str">
        <f>IF(U10&lt;&gt;"",INDEX($G$3:$I$228,MATCH($U10,$T$3:$T$228,0),COLUMNS($U$3:U10)),"")</f>
        <v/>
      </c>
      <c r="W10" s="1" t="str">
        <f>IF(V10&lt;&gt;"",INDEX($G$3:$I$228,MATCH($U10,$T$3:$T$228,0),COLUMNS($U$3:V10)),"")</f>
        <v/>
      </c>
      <c r="X10" s="1" t="str">
        <f>IF(W10&lt;&gt;"",INDEX($G$3:$I$228,MATCH($U10,$T$3:$T$228,0),COLUMNS($U$3:W10)),"")</f>
        <v/>
      </c>
      <c r="Z10" s="1" t="b">
        <f t="shared" si="2"/>
        <v>1</v>
      </c>
      <c r="AA10" s="1">
        <f>IF(Z10=TRUE,ROWS($Z$3:Z10),"")</f>
        <v>8</v>
      </c>
      <c r="AB10" s="1">
        <f>IFERROR(SMALL($AA$3:$AA$228,ROWS($AA$3:AA10)),"")</f>
        <v>8</v>
      </c>
      <c r="AC10" s="1" t="str">
        <f>IF(AB10&lt;&gt;"",INDEX($G$3:$I$228,MATCH($AB10,$AA$3:$AA$228,0),COLUMNS($AA$3:AA10)),"")</f>
        <v>Carrefour Mega</v>
      </c>
      <c r="AD10" s="1">
        <f>IF(AC10&lt;&gt;"",INDEX($G$3:$I$228,MATCH($AB10,$AA$3:$AA$228,0),COLUMNS($AA$3:AB10)),"")</f>
        <v>934547.81</v>
      </c>
      <c r="AE10" s="1" t="str">
        <f>IF(AD10&lt;&gt;"",INDEX($G$3:$I$228,MATCH($AB10,$AA$3:$AA$228,0),COLUMNS($AA$3:AC10)),"")</f>
        <v>Nairobi</v>
      </c>
    </row>
    <row r="11" spans="1:31" x14ac:dyDescent="0.2">
      <c r="A11" s="2">
        <v>44744</v>
      </c>
      <c r="B11" s="1" t="s">
        <v>27</v>
      </c>
      <c r="C11" s="1" t="s">
        <v>3</v>
      </c>
      <c r="D11" s="1">
        <v>132563</v>
      </c>
      <c r="E11" s="3">
        <v>4516.46</v>
      </c>
      <c r="F11" s="1" t="s">
        <v>4</v>
      </c>
      <c r="G11" s="1" t="s">
        <v>70</v>
      </c>
      <c r="H11" s="3">
        <f>SUMIFS(Table1[Value],Table1[Outlets],G11)</f>
        <v>931885.53</v>
      </c>
      <c r="I11" s="1" t="str">
        <f>IFERROR(VLOOKUP(G11,Table1[[Outlets]:[Region]],2,0),"")</f>
        <v>Nairobi</v>
      </c>
      <c r="K11" s="1" t="b">
        <f t="shared" si="0"/>
        <v>0</v>
      </c>
      <c r="L11" s="1" t="str">
        <f>IF(K11=TRUE,ROWS($J$3:J11),"")</f>
        <v/>
      </c>
      <c r="M11" s="1">
        <f>IFERROR(SMALL($L$3:$L$228,ROWS($L$3:L11)),"")</f>
        <v>30</v>
      </c>
      <c r="N11" s="1" t="str">
        <f>IF(M11&lt;&gt;"",INDEX($G$3:$I$228,MATCH($M11,$L$3:$L$228,0),COLUMNS($L$3:L11)),"")</f>
        <v>Chandarana Abc</v>
      </c>
      <c r="O11" s="3">
        <f>IF(N11&lt;&gt;"",INDEX($G$3:$I$228,MATCH($M11,$L$3:$L$228,0),COLUMNS($L$3:M11)),"")</f>
        <v>273587.67</v>
      </c>
      <c r="P11" s="1" t="str">
        <f>IF(O11&lt;&gt;"",INDEX($G$3:$I$228,MATCH($M11,$L$3:$L$228,0),COLUMNS($L$3:N11)),"")</f>
        <v>Nairobi</v>
      </c>
      <c r="S11" s="1" t="b">
        <f t="shared" si="1"/>
        <v>0</v>
      </c>
      <c r="T11" s="1" t="str">
        <f>IF(S11=TRUE,ROWS($S$3:S11),"")</f>
        <v/>
      </c>
      <c r="U11" s="1" t="str">
        <f>IFERROR(SMALL($T$3:$T$228,ROWS($T$3:T11)),"")</f>
        <v/>
      </c>
      <c r="V11" s="1" t="str">
        <f>IF(U11&lt;&gt;"",INDEX($G$3:$I$228,MATCH($U11,$T$3:$T$228,0),COLUMNS($U$3:U11)),"")</f>
        <v/>
      </c>
      <c r="W11" s="1" t="str">
        <f>IF(V11&lt;&gt;"",INDEX($G$3:$I$228,MATCH($U11,$T$3:$T$228,0),COLUMNS($U$3:V11)),"")</f>
        <v/>
      </c>
      <c r="X11" s="1" t="str">
        <f>IF(W11&lt;&gt;"",INDEX($G$3:$I$228,MATCH($U11,$T$3:$T$228,0),COLUMNS($U$3:W11)),"")</f>
        <v/>
      </c>
      <c r="Z11" s="1" t="b">
        <f t="shared" si="2"/>
        <v>1</v>
      </c>
      <c r="AA11" s="1">
        <f>IF(Z11=TRUE,ROWS($Z$3:Z11),"")</f>
        <v>9</v>
      </c>
      <c r="AB11" s="1">
        <f>IFERROR(SMALL($AA$3:$AA$228,ROWS($AA$3:AA11)),"")</f>
        <v>9</v>
      </c>
      <c r="AC11" s="1" t="str">
        <f>IF(AB11&lt;&gt;"",INDEX($G$3:$I$228,MATCH($AB11,$AA$3:$AA$228,0),COLUMNS($AA$3:AA11)),"")</f>
        <v>Carrefour Village</v>
      </c>
      <c r="AD11" s="1">
        <f>IF(AC11&lt;&gt;"",INDEX($G$3:$I$228,MATCH($AB11,$AA$3:$AA$228,0),COLUMNS($AA$3:AB11)),"")</f>
        <v>931885.53</v>
      </c>
      <c r="AE11" s="1" t="str">
        <f>IF(AD11&lt;&gt;"",INDEX($G$3:$I$228,MATCH($AB11,$AA$3:$AA$228,0),COLUMNS($AA$3:AC11)),"")</f>
        <v>Nairobi</v>
      </c>
    </row>
    <row r="12" spans="1:31" x14ac:dyDescent="0.2">
      <c r="A12" s="2">
        <v>44744</v>
      </c>
      <c r="B12" s="1" t="s">
        <v>28</v>
      </c>
      <c r="C12" s="1" t="s">
        <v>3</v>
      </c>
      <c r="D12" s="1">
        <v>132564</v>
      </c>
      <c r="E12" s="3">
        <v>83882.14</v>
      </c>
      <c r="F12" s="1" t="s">
        <v>4</v>
      </c>
      <c r="G12" s="1" t="s">
        <v>29</v>
      </c>
      <c r="H12" s="3">
        <f>SUMIFS(Table1[Value],Table1[Outlets],G12)</f>
        <v>776256.23</v>
      </c>
      <c r="I12" s="1" t="str">
        <f>IFERROR(VLOOKUP(G12,Table1[[Outlets]:[Region]],2,0),"")</f>
        <v>Nairobi</v>
      </c>
      <c r="K12" s="1" t="b">
        <f t="shared" si="0"/>
        <v>1</v>
      </c>
      <c r="L12" s="1">
        <f>IF(K12=TRUE,ROWS($J$3:J12),"")</f>
        <v>10</v>
      </c>
      <c r="M12" s="1">
        <f>IFERROR(SMALL($L$3:$L$228,ROWS($L$3:L12)),"")</f>
        <v>31</v>
      </c>
      <c r="N12" s="1" t="str">
        <f>IF(M12&lt;&gt;"",INDEX($G$3:$I$228,MATCH($M12,$L$3:$L$228,0),COLUMNS($L$3:L12)),"")</f>
        <v>Chandarana Eld</v>
      </c>
      <c r="O12" s="3">
        <f>IF(N12&lt;&gt;"",INDEX($G$3:$I$228,MATCH($M12,$L$3:$L$228,0),COLUMNS($L$3:M12)),"")</f>
        <v>270014.15000000002</v>
      </c>
      <c r="P12" s="1" t="str">
        <f>IF(O12&lt;&gt;"",INDEX($G$3:$I$228,MATCH($M12,$L$3:$L$228,0),COLUMNS($L$3:N12)),"")</f>
        <v>Rift valley</v>
      </c>
      <c r="S12" s="1" t="b">
        <f t="shared" si="1"/>
        <v>0</v>
      </c>
      <c r="T12" s="1" t="str">
        <f>IF(S12=TRUE,ROWS($S$3:S12),"")</f>
        <v/>
      </c>
      <c r="U12" s="1" t="str">
        <f>IFERROR(SMALL($T$3:$T$228,ROWS($T$3:T12)),"")</f>
        <v/>
      </c>
      <c r="V12" s="1" t="str">
        <f>IF(U12&lt;&gt;"",INDEX($G$3:$I$228,MATCH($U12,$T$3:$T$228,0),COLUMNS($U$3:U12)),"")</f>
        <v/>
      </c>
      <c r="W12" s="1" t="str">
        <f>IF(V12&lt;&gt;"",INDEX($G$3:$I$228,MATCH($U12,$T$3:$T$228,0),COLUMNS($U$3:V12)),"")</f>
        <v/>
      </c>
      <c r="X12" s="1" t="str">
        <f>IF(W12&lt;&gt;"",INDEX($G$3:$I$228,MATCH($U12,$T$3:$T$228,0),COLUMNS($U$3:W12)),"")</f>
        <v/>
      </c>
      <c r="Z12" s="1" t="b">
        <f t="shared" si="2"/>
        <v>1</v>
      </c>
      <c r="AA12" s="1">
        <f>IF(Z12=TRUE,ROWS($Z$3:Z12),"")</f>
        <v>10</v>
      </c>
      <c r="AB12" s="1">
        <f>IFERROR(SMALL($AA$3:$AA$228,ROWS($AA$3:AA12)),"")</f>
        <v>10</v>
      </c>
      <c r="AC12" s="1" t="str">
        <f>IF(AB12&lt;&gt;"",INDEX($G$3:$I$228,MATCH($AB12,$AA$3:$AA$228,0),COLUMNS($AA$3:AA12)),"")</f>
        <v>Chandarana Yaya</v>
      </c>
      <c r="AD12" s="1">
        <f>IF(AC12&lt;&gt;"",INDEX($G$3:$I$228,MATCH($AB12,$AA$3:$AA$228,0),COLUMNS($AA$3:AB12)),"")</f>
        <v>776256.23</v>
      </c>
      <c r="AE12" s="1" t="str">
        <f>IF(AD12&lt;&gt;"",INDEX($G$3:$I$228,MATCH($AB12,$AA$3:$AA$228,0),COLUMNS($AA$3:AC12)),"")</f>
        <v>Nairobi</v>
      </c>
    </row>
    <row r="13" spans="1:31" x14ac:dyDescent="0.2">
      <c r="A13" s="2">
        <v>44744</v>
      </c>
      <c r="B13" s="1" t="s">
        <v>29</v>
      </c>
      <c r="C13" s="1" t="s">
        <v>3</v>
      </c>
      <c r="D13" s="1">
        <v>132567</v>
      </c>
      <c r="E13" s="3">
        <v>407885.56</v>
      </c>
      <c r="F13" s="1" t="s">
        <v>4</v>
      </c>
      <c r="G13" s="1" t="s">
        <v>63</v>
      </c>
      <c r="H13" s="3">
        <f>SUMIFS(Table1[Value],Table1[Outlets],G13)</f>
        <v>742433.98</v>
      </c>
      <c r="I13" s="1" t="str">
        <f>IFERROR(VLOOKUP(G13,Table1[[Outlets]:[Region]],2,0),"")</f>
        <v>Nairobi</v>
      </c>
      <c r="K13" s="1" t="b">
        <f t="shared" si="0"/>
        <v>0</v>
      </c>
      <c r="L13" s="1" t="str">
        <f>IF(K13=TRUE,ROWS($J$3:J13),"")</f>
        <v/>
      </c>
      <c r="M13" s="1">
        <f>IFERROR(SMALL($L$3:$L$228,ROWS($L$3:L13)),"")</f>
        <v>36</v>
      </c>
      <c r="N13" s="1" t="str">
        <f>IF(M13&lt;&gt;"",INDEX($G$3:$I$228,MATCH($M13,$L$3:$L$228,0),COLUMNS($L$3:L13)),"")</f>
        <v>Chandarana Mobil</v>
      </c>
      <c r="O13" s="3">
        <f>IF(N13&lt;&gt;"",INDEX($G$3:$I$228,MATCH($M13,$L$3:$L$228,0),COLUMNS($L$3:M13)),"")</f>
        <v>224419.08000000002</v>
      </c>
      <c r="P13" s="1" t="str">
        <f>IF(O13&lt;&gt;"",INDEX($G$3:$I$228,MATCH($M13,$L$3:$L$228,0),COLUMNS($L$3:N13)),"")</f>
        <v>Nairobi</v>
      </c>
      <c r="S13" s="1" t="b">
        <f t="shared" si="1"/>
        <v>0</v>
      </c>
      <c r="T13" s="1" t="str">
        <f>IF(S13=TRUE,ROWS($S$3:S13),"")</f>
        <v/>
      </c>
      <c r="U13" s="1" t="str">
        <f>IFERROR(SMALL($T$3:$T$228,ROWS($T$3:T13)),"")</f>
        <v/>
      </c>
      <c r="V13" s="1" t="str">
        <f>IF(U13&lt;&gt;"",INDEX($G$3:$I$228,MATCH($U13,$T$3:$T$228,0),COLUMNS($U$3:U13)),"")</f>
        <v/>
      </c>
      <c r="W13" s="1" t="str">
        <f>IF(V13&lt;&gt;"",INDEX($G$3:$I$228,MATCH($U13,$T$3:$T$228,0),COLUMNS($U$3:V13)),"")</f>
        <v/>
      </c>
      <c r="X13" s="1" t="str">
        <f>IF(W13&lt;&gt;"",INDEX($G$3:$I$228,MATCH($U13,$T$3:$T$228,0),COLUMNS($U$3:W13)),"")</f>
        <v/>
      </c>
      <c r="Z13" s="1" t="b">
        <f t="shared" si="2"/>
        <v>1</v>
      </c>
      <c r="AA13" s="1">
        <f>IF(Z13=TRUE,ROWS($Z$3:Z13),"")</f>
        <v>11</v>
      </c>
      <c r="AB13" s="1">
        <f>IFERROR(SMALL($AA$3:$AA$228,ROWS($AA$3:AA13)),"")</f>
        <v>11</v>
      </c>
      <c r="AC13" s="1" t="str">
        <f>IF(AB13&lt;&gt;"",INDEX($G$3:$I$228,MATCH($AB13,$AA$3:$AA$228,0),COLUMNS($AA$3:AA13)),"")</f>
        <v>Carrefour Trm</v>
      </c>
      <c r="AD13" s="1">
        <f>IF(AC13&lt;&gt;"",INDEX($G$3:$I$228,MATCH($AB13,$AA$3:$AA$228,0),COLUMNS($AA$3:AB13)),"")</f>
        <v>742433.98</v>
      </c>
      <c r="AE13" s="1" t="str">
        <f>IF(AD13&lt;&gt;"",INDEX($G$3:$I$228,MATCH($AB13,$AA$3:$AA$228,0),COLUMNS($AA$3:AC13)),"")</f>
        <v>Nairobi</v>
      </c>
    </row>
    <row r="14" spans="1:31" x14ac:dyDescent="0.2">
      <c r="A14" s="2">
        <v>44744</v>
      </c>
      <c r="B14" s="1" t="s">
        <v>30</v>
      </c>
      <c r="C14" s="1" t="s">
        <v>3</v>
      </c>
      <c r="D14" s="1">
        <v>132568</v>
      </c>
      <c r="E14" s="3">
        <v>25698.71</v>
      </c>
      <c r="F14" s="1" t="s">
        <v>4</v>
      </c>
      <c r="G14" s="1" t="s">
        <v>64</v>
      </c>
      <c r="H14" s="3">
        <f>SUMIFS(Table1[Value],Table1[Outlets],G14)</f>
        <v>630815.28</v>
      </c>
      <c r="I14" s="1" t="str">
        <f>IFERROR(VLOOKUP(G14,Table1[[Outlets]:[Region]],2,0),"")</f>
        <v>Nairobi</v>
      </c>
      <c r="K14" s="1" t="b">
        <f t="shared" si="0"/>
        <v>0</v>
      </c>
      <c r="L14" s="1" t="str">
        <f>IF(K14=TRUE,ROWS($J$3:J14),"")</f>
        <v/>
      </c>
      <c r="M14" s="1">
        <f>IFERROR(SMALL($L$3:$L$228,ROWS($L$3:L14)),"")</f>
        <v>39</v>
      </c>
      <c r="N14" s="1" t="str">
        <f>IF(M14&lt;&gt;"",INDEX($G$3:$I$228,MATCH($M14,$L$3:$L$228,0),COLUMNS($L$3:L14)),"")</f>
        <v>Chandarana Signature</v>
      </c>
      <c r="O14" s="3">
        <f>IF(N14&lt;&gt;"",INDEX($G$3:$I$228,MATCH($M14,$L$3:$L$228,0),COLUMNS($L$3:M14)),"")</f>
        <v>209890.58</v>
      </c>
      <c r="P14" s="1" t="str">
        <f>IF(O14&lt;&gt;"",INDEX($G$3:$I$228,MATCH($M14,$L$3:$L$228,0),COLUMNS($L$3:N14)),"")</f>
        <v>Nairobi</v>
      </c>
      <c r="S14" s="1" t="b">
        <f t="shared" si="1"/>
        <v>0</v>
      </c>
      <c r="T14" s="1" t="str">
        <f>IF(S14=TRUE,ROWS($S$3:S14),"")</f>
        <v/>
      </c>
      <c r="U14" s="1" t="str">
        <f>IFERROR(SMALL($T$3:$T$228,ROWS($T$3:T14)),"")</f>
        <v/>
      </c>
      <c r="V14" s="1" t="str">
        <f>IF(U14&lt;&gt;"",INDEX($G$3:$I$228,MATCH($U14,$T$3:$T$228,0),COLUMNS($U$3:U14)),"")</f>
        <v/>
      </c>
      <c r="W14" s="1" t="str">
        <f>IF(V14&lt;&gt;"",INDEX($G$3:$I$228,MATCH($U14,$T$3:$T$228,0),COLUMNS($U$3:V14)),"")</f>
        <v/>
      </c>
      <c r="X14" s="1" t="str">
        <f>IF(W14&lt;&gt;"",INDEX($G$3:$I$228,MATCH($U14,$T$3:$T$228,0),COLUMNS($U$3:W14)),"")</f>
        <v/>
      </c>
      <c r="Z14" s="1" t="b">
        <f t="shared" si="2"/>
        <v>1</v>
      </c>
      <c r="AA14" s="1">
        <f>IF(Z14=TRUE,ROWS($Z$3:Z14),"")</f>
        <v>12</v>
      </c>
      <c r="AB14" s="1">
        <f>IFERROR(SMALL($AA$3:$AA$228,ROWS($AA$3:AA14)),"")</f>
        <v>12</v>
      </c>
      <c r="AC14" s="1" t="str">
        <f>IF(AB14&lt;&gt;"",INDEX($G$3:$I$228,MATCH($AB14,$AA$3:$AA$228,0),COLUMNS($AA$3:AA14)),"")</f>
        <v>Carrefour Westgate</v>
      </c>
      <c r="AD14" s="1">
        <f>IF(AC14&lt;&gt;"",INDEX($G$3:$I$228,MATCH($AB14,$AA$3:$AA$228,0),COLUMNS($AA$3:AB14)),"")</f>
        <v>630815.28</v>
      </c>
      <c r="AE14" s="1" t="str">
        <f>IF(AD14&lt;&gt;"",INDEX($G$3:$I$228,MATCH($AB14,$AA$3:$AA$228,0),COLUMNS($AA$3:AC14)),"")</f>
        <v>Nairobi</v>
      </c>
    </row>
    <row r="15" spans="1:31" x14ac:dyDescent="0.2">
      <c r="A15" s="2">
        <v>44744</v>
      </c>
      <c r="B15" s="1" t="s">
        <v>31</v>
      </c>
      <c r="C15" s="1" t="s">
        <v>249</v>
      </c>
      <c r="D15" s="1">
        <v>132569</v>
      </c>
      <c r="E15" s="3">
        <v>31977.32</v>
      </c>
      <c r="F15" s="1" t="s">
        <v>4</v>
      </c>
      <c r="G15" s="1" t="s">
        <v>24</v>
      </c>
      <c r="H15" s="3">
        <f>SUMIFS(Table1[Value],Table1[Outlets],G15)</f>
        <v>590588.23</v>
      </c>
      <c r="I15" s="1" t="str">
        <f>IFERROR(VLOOKUP(G15,Table1[[Outlets]:[Region]],2,0),"")</f>
        <v>Nairobi</v>
      </c>
      <c r="K15" s="1" t="b">
        <f t="shared" si="0"/>
        <v>1</v>
      </c>
      <c r="L15" s="1">
        <f>IF(K15=TRUE,ROWS($J$3:J15),"")</f>
        <v>13</v>
      </c>
      <c r="M15" s="1">
        <f>IFERROR(SMALL($L$3:$L$228,ROWS($L$3:L15)),"")</f>
        <v>42</v>
      </c>
      <c r="N15" s="1" t="str">
        <f>IF(M15&lt;&gt;"",INDEX($G$3:$I$228,MATCH($M15,$L$3:$L$228,0),COLUMNS($L$3:L15)),"")</f>
        <v>Chandarana Ngara</v>
      </c>
      <c r="O15" s="3">
        <f>IF(N15&lt;&gt;"",INDEX($G$3:$I$228,MATCH($M15,$L$3:$L$228,0),COLUMNS($L$3:M15)),"")</f>
        <v>190291.43</v>
      </c>
      <c r="P15" s="1" t="str">
        <f>IF(O15&lt;&gt;"",INDEX($G$3:$I$228,MATCH($M15,$L$3:$L$228,0),COLUMNS($L$3:N15)),"")</f>
        <v>Nairobi</v>
      </c>
      <c r="S15" s="1" t="b">
        <f t="shared" si="1"/>
        <v>0</v>
      </c>
      <c r="T15" s="1" t="str">
        <f>IF(S15=TRUE,ROWS($S$3:S15),"")</f>
        <v/>
      </c>
      <c r="U15" s="1" t="str">
        <f>IFERROR(SMALL($T$3:$T$228,ROWS($T$3:T15)),"")</f>
        <v/>
      </c>
      <c r="V15" s="1" t="str">
        <f>IF(U15&lt;&gt;"",INDEX($G$3:$I$228,MATCH($U15,$T$3:$T$228,0),COLUMNS($U$3:U15)),"")</f>
        <v/>
      </c>
      <c r="W15" s="1" t="str">
        <f>IF(V15&lt;&gt;"",INDEX($G$3:$I$228,MATCH($U15,$T$3:$T$228,0),COLUMNS($U$3:V15)),"")</f>
        <v/>
      </c>
      <c r="X15" s="1" t="str">
        <f>IF(W15&lt;&gt;"",INDEX($G$3:$I$228,MATCH($U15,$T$3:$T$228,0),COLUMNS($U$3:W15)),"")</f>
        <v/>
      </c>
      <c r="Z15" s="1" t="b">
        <f t="shared" si="2"/>
        <v>1</v>
      </c>
      <c r="AA15" s="1">
        <f>IF(Z15=TRUE,ROWS($Z$3:Z15),"")</f>
        <v>13</v>
      </c>
      <c r="AB15" s="1">
        <f>IFERROR(SMALL($AA$3:$AA$228,ROWS($AA$3:AA15)),"")</f>
        <v>13</v>
      </c>
      <c r="AC15" s="1" t="str">
        <f>IF(AB15&lt;&gt;"",INDEX($G$3:$I$228,MATCH($AB15,$AA$3:$AA$228,0),COLUMNS($AA$3:AA15)),"")</f>
        <v>Chandarana Lavington</v>
      </c>
      <c r="AD15" s="1">
        <f>IF(AC15&lt;&gt;"",INDEX($G$3:$I$228,MATCH($AB15,$AA$3:$AA$228,0),COLUMNS($AA$3:AB15)),"")</f>
        <v>590588.23</v>
      </c>
      <c r="AE15" s="1" t="str">
        <f>IF(AD15&lt;&gt;"",INDEX($G$3:$I$228,MATCH($AB15,$AA$3:$AA$228,0),COLUMNS($AA$3:AC15)),"")</f>
        <v>Nairobi</v>
      </c>
    </row>
    <row r="16" spans="1:31" x14ac:dyDescent="0.2">
      <c r="A16" s="2">
        <v>44744</v>
      </c>
      <c r="B16" s="1" t="s">
        <v>32</v>
      </c>
      <c r="C16" s="1" t="s">
        <v>3</v>
      </c>
      <c r="D16" s="1">
        <v>132572</v>
      </c>
      <c r="E16" s="3">
        <v>127913.35</v>
      </c>
      <c r="F16" s="1" t="s">
        <v>4</v>
      </c>
      <c r="G16" s="1" t="s">
        <v>203</v>
      </c>
      <c r="H16" s="3">
        <f>SUMIFS(Table1[Value],Table1[Outlets],G16)</f>
        <v>586802.57999999996</v>
      </c>
      <c r="I16" s="1" t="str">
        <f>IFERROR(VLOOKUP(G16,Table1[[Outlets]:[Region]],2,0),"")</f>
        <v>Nairobi</v>
      </c>
      <c r="K16" s="1" t="b">
        <f t="shared" si="0"/>
        <v>0</v>
      </c>
      <c r="L16" s="1" t="str">
        <f>IF(K16=TRUE,ROWS($J$3:J16),"")</f>
        <v/>
      </c>
      <c r="M16" s="1">
        <f>IFERROR(SMALL($L$3:$L$228,ROWS($L$3:L16)),"")</f>
        <v>48</v>
      </c>
      <c r="N16" s="1" t="str">
        <f>IF(M16&lt;&gt;"",INDEX($G$3:$I$228,MATCH($M16,$L$3:$L$228,0),COLUMNS($L$3:L16)),"")</f>
        <v>Chandarana Westend</v>
      </c>
      <c r="O16" s="3">
        <f>IF(N16&lt;&gt;"",INDEX($G$3:$I$228,MATCH($M16,$L$3:$L$228,0),COLUMNS($L$3:M16)),"")</f>
        <v>166184.92000000001</v>
      </c>
      <c r="P16" s="1" t="str">
        <f>IF(O16&lt;&gt;"",INDEX($G$3:$I$228,MATCH($M16,$L$3:$L$228,0),COLUMNS($L$3:N16)),"")</f>
        <v>Nyanza</v>
      </c>
      <c r="S16" s="1" t="b">
        <f t="shared" si="1"/>
        <v>0</v>
      </c>
      <c r="T16" s="1" t="str">
        <f>IF(S16=TRUE,ROWS($S$3:S16),"")</f>
        <v/>
      </c>
      <c r="U16" s="1" t="str">
        <f>IFERROR(SMALL($T$3:$T$228,ROWS($T$3:T16)),"")</f>
        <v/>
      </c>
      <c r="V16" s="1" t="str">
        <f>IF(U16&lt;&gt;"",INDEX($G$3:$I$228,MATCH($U16,$T$3:$T$228,0),COLUMNS($U$3:U16)),"")</f>
        <v/>
      </c>
      <c r="W16" s="1" t="str">
        <f>IF(V16&lt;&gt;"",INDEX($G$3:$I$228,MATCH($U16,$T$3:$T$228,0),COLUMNS($U$3:V16)),"")</f>
        <v/>
      </c>
      <c r="X16" s="1" t="str">
        <f>IF(W16&lt;&gt;"",INDEX($G$3:$I$228,MATCH($U16,$T$3:$T$228,0),COLUMNS($U$3:W16)),"")</f>
        <v/>
      </c>
      <c r="Z16" s="1" t="b">
        <f t="shared" si="2"/>
        <v>1</v>
      </c>
      <c r="AA16" s="1">
        <f>IF(Z16=TRUE,ROWS($Z$3:Z16),"")</f>
        <v>14</v>
      </c>
      <c r="AB16" s="1">
        <f>IFERROR(SMALL($AA$3:$AA$228,ROWS($AA$3:AA16)),"")</f>
        <v>14</v>
      </c>
      <c r="AC16" s="1" t="str">
        <f>IF(AB16&lt;&gt;"",INDEX($G$3:$I$228,MATCH($AB16,$AA$3:$AA$228,0),COLUMNS($AA$3:AA16)),"")</f>
        <v>Mathai Hq</v>
      </c>
      <c r="AD16" s="1">
        <f>IF(AC16&lt;&gt;"",INDEX($G$3:$I$228,MATCH($AB16,$AA$3:$AA$228,0),COLUMNS($AA$3:AB16)),"")</f>
        <v>586802.57999999996</v>
      </c>
      <c r="AE16" s="1" t="str">
        <f>IF(AD16&lt;&gt;"",INDEX($G$3:$I$228,MATCH($AB16,$AA$3:$AA$228,0),COLUMNS($AA$3:AC16)),"")</f>
        <v>Nairobi</v>
      </c>
    </row>
    <row r="17" spans="1:31" x14ac:dyDescent="0.2">
      <c r="A17" s="2">
        <v>44746</v>
      </c>
      <c r="B17" s="1" t="s">
        <v>33</v>
      </c>
      <c r="C17" s="1" t="s">
        <v>3</v>
      </c>
      <c r="D17" s="1">
        <v>132579</v>
      </c>
      <c r="E17" s="3">
        <v>90325.68</v>
      </c>
      <c r="F17" s="1" t="s">
        <v>4</v>
      </c>
      <c r="G17" s="1" t="s">
        <v>28</v>
      </c>
      <c r="H17" s="3">
        <f>SUMIFS(Table1[Value],Table1[Outlets],G17)</f>
        <v>569651.96</v>
      </c>
      <c r="I17" s="1" t="str">
        <f>IFERROR(VLOOKUP(G17,Table1[[Outlets]:[Region]],2,0),"")</f>
        <v>Nairobi</v>
      </c>
      <c r="K17" s="1" t="b">
        <f t="shared" si="0"/>
        <v>1</v>
      </c>
      <c r="L17" s="1">
        <f>IF(K17=TRUE,ROWS($J$3:J17),"")</f>
        <v>15</v>
      </c>
      <c r="M17" s="1">
        <f>IFERROR(SMALL($L$3:$L$228,ROWS($L$3:L17)),"")</f>
        <v>51</v>
      </c>
      <c r="N17" s="1" t="str">
        <f>IF(M17&lt;&gt;"",INDEX($G$3:$I$228,MATCH($M17,$L$3:$L$228,0),COLUMNS($L$3:L17)),"")</f>
        <v>Chandarana Roselyn</v>
      </c>
      <c r="O17" s="3">
        <f>IF(N17&lt;&gt;"",INDEX($G$3:$I$228,MATCH($M17,$L$3:$L$228,0),COLUMNS($L$3:M17)),"")</f>
        <v>163385.25</v>
      </c>
      <c r="P17" s="1" t="str">
        <f>IF(O17&lt;&gt;"",INDEX($G$3:$I$228,MATCH($M17,$L$3:$L$228,0),COLUMNS($L$3:N17)),"")</f>
        <v>Nairobi</v>
      </c>
      <c r="S17" s="1" t="b">
        <f t="shared" si="1"/>
        <v>0</v>
      </c>
      <c r="T17" s="1" t="str">
        <f>IF(S17=TRUE,ROWS($S$3:S17),"")</f>
        <v/>
      </c>
      <c r="U17" s="1" t="str">
        <f>IFERROR(SMALL($T$3:$T$228,ROWS($T$3:T17)),"")</f>
        <v/>
      </c>
      <c r="V17" s="1" t="str">
        <f>IF(U17&lt;&gt;"",INDEX($G$3:$I$228,MATCH($U17,$T$3:$T$228,0),COLUMNS($U$3:U17)),"")</f>
        <v/>
      </c>
      <c r="W17" s="1" t="str">
        <f>IF(V17&lt;&gt;"",INDEX($G$3:$I$228,MATCH($U17,$T$3:$T$228,0),COLUMNS($U$3:V17)),"")</f>
        <v/>
      </c>
      <c r="X17" s="1" t="str">
        <f>IF(W17&lt;&gt;"",INDEX($G$3:$I$228,MATCH($U17,$T$3:$T$228,0),COLUMNS($U$3:W17)),"")</f>
        <v/>
      </c>
      <c r="Z17" s="1" t="b">
        <f t="shared" si="2"/>
        <v>1</v>
      </c>
      <c r="AA17" s="1">
        <f>IF(Z17=TRUE,ROWS($Z$3:Z17),"")</f>
        <v>15</v>
      </c>
      <c r="AB17" s="1">
        <f>IFERROR(SMALL($AA$3:$AA$228,ROWS($AA$3:AA17)),"")</f>
        <v>15</v>
      </c>
      <c r="AC17" s="1" t="str">
        <f>IF(AB17&lt;&gt;"",INDEX($G$3:$I$228,MATCH($AB17,$AA$3:$AA$228,0),COLUMNS($AA$3:AA17)),"")</f>
        <v>Chandarana Diamond</v>
      </c>
      <c r="AD17" s="1">
        <f>IF(AC17&lt;&gt;"",INDEX($G$3:$I$228,MATCH($AB17,$AA$3:$AA$228,0),COLUMNS($AA$3:AB17)),"")</f>
        <v>569651.96</v>
      </c>
      <c r="AE17" s="1" t="str">
        <f>IF(AD17&lt;&gt;"",INDEX($G$3:$I$228,MATCH($AB17,$AA$3:$AA$228,0),COLUMNS($AA$3:AC17)),"")</f>
        <v>Nairobi</v>
      </c>
    </row>
    <row r="18" spans="1:31" x14ac:dyDescent="0.2">
      <c r="A18" s="2">
        <v>44746</v>
      </c>
      <c r="B18" s="1" t="s">
        <v>34</v>
      </c>
      <c r="C18" s="1" t="s">
        <v>3</v>
      </c>
      <c r="D18" s="1">
        <v>132580</v>
      </c>
      <c r="E18" s="3">
        <v>72212.59</v>
      </c>
      <c r="F18" s="1" t="s">
        <v>4</v>
      </c>
      <c r="G18" s="1" t="s">
        <v>239</v>
      </c>
      <c r="H18" s="3">
        <f>SUMIFS(Table1[Value],Table1[Outlets],G18)</f>
        <v>529064.97</v>
      </c>
      <c r="I18" s="1" t="str">
        <f>IFERROR(VLOOKUP(G18,Table1[[Outlets]:[Region]],2,0),"")</f>
        <v>Nairobi</v>
      </c>
      <c r="K18" s="1" t="b">
        <f t="shared" si="0"/>
        <v>0</v>
      </c>
      <c r="L18" s="1" t="str">
        <f>IF(K18=TRUE,ROWS($J$3:J18),"")</f>
        <v/>
      </c>
      <c r="M18" s="1">
        <f>IFERROR(SMALL($L$3:$L$228,ROWS($L$3:L18)),"")</f>
        <v>56</v>
      </c>
      <c r="N18" s="1" t="str">
        <f>IF(M18&lt;&gt;"",INDEX($G$3:$I$228,MATCH($M18,$L$3:$L$228,0),COLUMNS($L$3:L18)),"")</f>
        <v>Chandarana Riverside</v>
      </c>
      <c r="O18" s="3">
        <f>IF(N18&lt;&gt;"",INDEX($G$3:$I$228,MATCH($M18,$L$3:$L$228,0),COLUMNS($L$3:M18)),"")</f>
        <v>145367.32</v>
      </c>
      <c r="P18" s="1" t="str">
        <f>IF(O18&lt;&gt;"",INDEX($G$3:$I$228,MATCH($M18,$L$3:$L$228,0),COLUMNS($L$3:N18)),"")</f>
        <v>Nairobi</v>
      </c>
      <c r="S18" s="1" t="b">
        <f t="shared" si="1"/>
        <v>0</v>
      </c>
      <c r="T18" s="1" t="str">
        <f>IF(S18=TRUE,ROWS($S$3:S18),"")</f>
        <v/>
      </c>
      <c r="U18" s="1" t="str">
        <f>IFERROR(SMALL($T$3:$T$228,ROWS($T$3:T18)),"")</f>
        <v/>
      </c>
      <c r="V18" s="1" t="str">
        <f>IF(U18&lt;&gt;"",INDEX($G$3:$I$228,MATCH($U18,$T$3:$T$228,0),COLUMNS($U$3:U18)),"")</f>
        <v/>
      </c>
      <c r="W18" s="1" t="str">
        <f>IF(V18&lt;&gt;"",INDEX($G$3:$I$228,MATCH($U18,$T$3:$T$228,0),COLUMNS($U$3:V18)),"")</f>
        <v/>
      </c>
      <c r="X18" s="1" t="str">
        <f>IF(W18&lt;&gt;"",INDEX($G$3:$I$228,MATCH($U18,$T$3:$T$228,0),COLUMNS($U$3:W18)),"")</f>
        <v/>
      </c>
      <c r="Z18" s="1" t="b">
        <f t="shared" si="2"/>
        <v>1</v>
      </c>
      <c r="AA18" s="1">
        <f>IF(Z18=TRUE,ROWS($Z$3:Z18),"")</f>
        <v>16</v>
      </c>
      <c r="AB18" s="1">
        <f>IFERROR(SMALL($AA$3:$AA$228,ROWS($AA$3:AA18)),"")</f>
        <v>16</v>
      </c>
      <c r="AC18" s="1" t="str">
        <f>IF(AB18&lt;&gt;"",INDEX($G$3:$I$228,MATCH($AB18,$AA$3:$AA$228,0),COLUMNS($AA$3:AA18)),"")</f>
        <v>Eastmatt Hq</v>
      </c>
      <c r="AD18" s="1">
        <f>IF(AC18&lt;&gt;"",INDEX($G$3:$I$228,MATCH($AB18,$AA$3:$AA$228,0),COLUMNS($AA$3:AB18)),"")</f>
        <v>529064.97</v>
      </c>
      <c r="AE18" s="1" t="str">
        <f>IF(AD18&lt;&gt;"",INDEX($G$3:$I$228,MATCH($AB18,$AA$3:$AA$228,0),COLUMNS($AA$3:AC18)),"")</f>
        <v>Nairobi</v>
      </c>
    </row>
    <row r="19" spans="1:31" x14ac:dyDescent="0.2">
      <c r="A19" s="2">
        <v>44746</v>
      </c>
      <c r="B19" s="1" t="s">
        <v>35</v>
      </c>
      <c r="C19" s="1" t="s">
        <v>3</v>
      </c>
      <c r="D19" s="1">
        <v>132582</v>
      </c>
      <c r="E19" s="3">
        <v>141021.20000000001</v>
      </c>
      <c r="F19" s="1" t="s">
        <v>4</v>
      </c>
      <c r="G19" s="1" t="s">
        <v>32</v>
      </c>
      <c r="H19" s="3">
        <f>SUMIFS(Table1[Value],Table1[Outlets],G19)</f>
        <v>492427.43999999994</v>
      </c>
      <c r="I19" s="1" t="str">
        <f>IFERROR(VLOOKUP(G19,Table1[[Outlets]:[Region]],2,0),"")</f>
        <v>Nairobi</v>
      </c>
      <c r="K19" s="1" t="b">
        <f t="shared" si="0"/>
        <v>1</v>
      </c>
      <c r="L19" s="1">
        <f>IF(K19=TRUE,ROWS($J$3:J19),"")</f>
        <v>17</v>
      </c>
      <c r="M19" s="1">
        <f>IFERROR(SMALL($L$3:$L$228,ROWS($L$3:L19)),"")</f>
        <v>59</v>
      </c>
      <c r="N19" s="1" t="str">
        <f>IF(M19&lt;&gt;"",INDEX($G$3:$I$228,MATCH($M19,$L$3:$L$228,0),COLUMNS($L$3:L19)),"")</f>
        <v>Chandarana New Muthaiga</v>
      </c>
      <c r="O19" s="3">
        <f>IF(N19&lt;&gt;"",INDEX($G$3:$I$228,MATCH($M19,$L$3:$L$228,0),COLUMNS($L$3:M19)),"")</f>
        <v>136823.25</v>
      </c>
      <c r="P19" s="1" t="str">
        <f>IF(O19&lt;&gt;"",INDEX($G$3:$I$228,MATCH($M19,$L$3:$L$228,0),COLUMNS($L$3:N19)),"")</f>
        <v>Nairobi</v>
      </c>
      <c r="S19" s="1" t="b">
        <f t="shared" si="1"/>
        <v>0</v>
      </c>
      <c r="T19" s="1" t="str">
        <f>IF(S19=TRUE,ROWS($S$3:S19),"")</f>
        <v/>
      </c>
      <c r="U19" s="1" t="str">
        <f>IFERROR(SMALL($T$3:$T$228,ROWS($T$3:T19)),"")</f>
        <v/>
      </c>
      <c r="V19" s="1" t="str">
        <f>IF(U19&lt;&gt;"",INDEX($G$3:$I$228,MATCH($U19,$T$3:$T$228,0),COLUMNS($U$3:U19)),"")</f>
        <v/>
      </c>
      <c r="W19" s="1" t="str">
        <f>IF(V19&lt;&gt;"",INDEX($G$3:$I$228,MATCH($U19,$T$3:$T$228,0),COLUMNS($U$3:V19)),"")</f>
        <v/>
      </c>
      <c r="X19" s="1" t="str">
        <f>IF(W19&lt;&gt;"",INDEX($G$3:$I$228,MATCH($U19,$T$3:$T$228,0),COLUMNS($U$3:W19)),"")</f>
        <v/>
      </c>
      <c r="Z19" s="1" t="b">
        <f t="shared" si="2"/>
        <v>1</v>
      </c>
      <c r="AA19" s="1">
        <f>IF(Z19=TRUE,ROWS($Z$3:Z19),"")</f>
        <v>17</v>
      </c>
      <c r="AB19" s="1">
        <f>IFERROR(SMALL($AA$3:$AA$228,ROWS($AA$3:AA19)),"")</f>
        <v>17</v>
      </c>
      <c r="AC19" s="1" t="str">
        <f>IF(AB19&lt;&gt;"",INDEX($G$3:$I$228,MATCH($AB19,$AA$3:$AA$228,0),COLUMNS($AA$3:AA19)),"")</f>
        <v>Chandarana Adlife</v>
      </c>
      <c r="AD19" s="1">
        <f>IF(AC19&lt;&gt;"",INDEX($G$3:$I$228,MATCH($AB19,$AA$3:$AA$228,0),COLUMNS($AA$3:AB19)),"")</f>
        <v>492427.43999999994</v>
      </c>
      <c r="AE19" s="1" t="str">
        <f>IF(AD19&lt;&gt;"",INDEX($G$3:$I$228,MATCH($AB19,$AA$3:$AA$228,0),COLUMNS($AA$3:AC19)),"")</f>
        <v>Nairobi</v>
      </c>
    </row>
    <row r="20" spans="1:31" x14ac:dyDescent="0.2">
      <c r="A20" s="2">
        <v>44746</v>
      </c>
      <c r="B20" s="1" t="s">
        <v>36</v>
      </c>
      <c r="C20" s="1" t="s">
        <v>3</v>
      </c>
      <c r="D20" s="1">
        <v>132583</v>
      </c>
      <c r="E20" s="3">
        <v>32793.96</v>
      </c>
      <c r="F20" s="1" t="s">
        <v>4</v>
      </c>
      <c r="G20" s="1" t="s">
        <v>49</v>
      </c>
      <c r="H20" s="3">
        <f>SUMIFS(Table1[Value],Table1[Outlets],G20)</f>
        <v>484864.14999999997</v>
      </c>
      <c r="I20" s="1" t="str">
        <f>IFERROR(VLOOKUP(G20,Table1[[Outlets]:[Region]],2,0),"")</f>
        <v>Coast</v>
      </c>
      <c r="K20" s="1" t="b">
        <f t="shared" si="0"/>
        <v>0</v>
      </c>
      <c r="L20" s="1" t="str">
        <f>IF(K20=TRUE,ROWS($J$3:J20),"")</f>
        <v/>
      </c>
      <c r="M20" s="1">
        <f>IFERROR(SMALL($L$3:$L$228,ROWS($L$3:L20)),"")</f>
        <v>83</v>
      </c>
      <c r="N20" s="1" t="str">
        <f>IF(M20&lt;&gt;"",INDEX($G$3:$I$228,MATCH($M20,$L$3:$L$228,0),COLUMNS($L$3:L20)),"")</f>
        <v>Chandarana Well</v>
      </c>
      <c r="O20" s="3">
        <f>IF(N20&lt;&gt;"",INDEX($G$3:$I$228,MATCH($M20,$L$3:$L$228,0),COLUMNS($L$3:M20)),"")</f>
        <v>91085.62</v>
      </c>
      <c r="P20" s="1" t="str">
        <f>IF(O20&lt;&gt;"",INDEX($G$3:$I$228,MATCH($M20,$L$3:$L$228,0),COLUMNS($L$3:N20)),"")</f>
        <v>Nairobi</v>
      </c>
      <c r="S20" s="1" t="b">
        <f t="shared" si="1"/>
        <v>0</v>
      </c>
      <c r="T20" s="1" t="str">
        <f>IF(S20=TRUE,ROWS($S$3:S20),"")</f>
        <v/>
      </c>
      <c r="U20" s="1" t="str">
        <f>IFERROR(SMALL($T$3:$T$228,ROWS($T$3:T20)),"")</f>
        <v/>
      </c>
      <c r="V20" s="1" t="str">
        <f>IF(U20&lt;&gt;"",INDEX($G$3:$I$228,MATCH($U20,$T$3:$T$228,0),COLUMNS($U$3:U20)),"")</f>
        <v/>
      </c>
      <c r="W20" s="1" t="str">
        <f>IF(V20&lt;&gt;"",INDEX($G$3:$I$228,MATCH($U20,$T$3:$T$228,0),COLUMNS($U$3:V20)),"")</f>
        <v/>
      </c>
      <c r="X20" s="1" t="str">
        <f>IF(W20&lt;&gt;"",INDEX($G$3:$I$228,MATCH($U20,$T$3:$T$228,0),COLUMNS($U$3:W20)),"")</f>
        <v/>
      </c>
      <c r="Z20" s="1" t="b">
        <f t="shared" si="2"/>
        <v>1</v>
      </c>
      <c r="AA20" s="1">
        <f>IF(Z20=TRUE,ROWS($Z$3:Z20),"")</f>
        <v>18</v>
      </c>
      <c r="AB20" s="1">
        <f>IFERROR(SMALL($AA$3:$AA$228,ROWS($AA$3:AA20)),"")</f>
        <v>18</v>
      </c>
      <c r="AC20" s="1" t="str">
        <f>IF(AB20&lt;&gt;"",INDEX($G$3:$I$228,MATCH($AB20,$AA$3:$AA$228,0),COLUMNS($AA$3:AA20)),"")</f>
        <v>Naivas Nyali</v>
      </c>
      <c r="AD20" s="1">
        <f>IF(AC20&lt;&gt;"",INDEX($G$3:$I$228,MATCH($AB20,$AA$3:$AA$228,0),COLUMNS($AA$3:AB20)),"")</f>
        <v>484864.14999999997</v>
      </c>
      <c r="AE20" s="1" t="str">
        <f>IF(AD20&lt;&gt;"",INDEX($G$3:$I$228,MATCH($AB20,$AA$3:$AA$228,0),COLUMNS($AA$3:AC20)),"")</f>
        <v>Coast</v>
      </c>
    </row>
    <row r="21" spans="1:31" x14ac:dyDescent="0.2">
      <c r="A21" s="2">
        <v>44746</v>
      </c>
      <c r="B21" s="1" t="s">
        <v>37</v>
      </c>
      <c r="C21" s="1" t="s">
        <v>3</v>
      </c>
      <c r="D21" s="1">
        <v>132585</v>
      </c>
      <c r="E21" s="3">
        <v>5787.3</v>
      </c>
      <c r="F21" s="1" t="s">
        <v>5</v>
      </c>
      <c r="G21" s="1" t="s">
        <v>54</v>
      </c>
      <c r="H21" s="3">
        <f>SUMIFS(Table1[Value],Table1[Outlets],G21)</f>
        <v>470800.64000000001</v>
      </c>
      <c r="I21" s="1" t="str">
        <f>IFERROR(VLOOKUP(G21,Table1[[Outlets]:[Region]],2,0),"")</f>
        <v>Coast</v>
      </c>
      <c r="K21" s="1" t="b">
        <f t="shared" si="0"/>
        <v>0</v>
      </c>
      <c r="L21" s="1" t="str">
        <f>IF(K21=TRUE,ROWS($J$3:J21),"")</f>
        <v/>
      </c>
      <c r="M21" s="1">
        <f>IFERROR(SMALL($L$3:$L$228,ROWS($L$3:L21)),"")</f>
        <v>86</v>
      </c>
      <c r="N21" s="1" t="str">
        <f>IF(M21&lt;&gt;"",INDEX($G$3:$I$228,MATCH($M21,$L$3:$L$228,0),COLUMNS($L$3:L21)),"")</f>
        <v>Chandarana Airport</v>
      </c>
      <c r="O21" s="3">
        <f>IF(N21&lt;&gt;"",INDEX($G$3:$I$228,MATCH($M21,$L$3:$L$228,0),COLUMNS($L$3:M21)),"")</f>
        <v>89113.1</v>
      </c>
      <c r="P21" s="1" t="str">
        <f>IF(O21&lt;&gt;"",INDEX($G$3:$I$228,MATCH($M21,$L$3:$L$228,0),COLUMNS($L$3:N21)),"")</f>
        <v>Coast</v>
      </c>
      <c r="S21" s="1" t="b">
        <f t="shared" si="1"/>
        <v>0</v>
      </c>
      <c r="T21" s="1" t="str">
        <f>IF(S21=TRUE,ROWS($S$3:S21),"")</f>
        <v/>
      </c>
      <c r="U21" s="1" t="str">
        <f>IFERROR(SMALL($T$3:$T$228,ROWS($T$3:T21)),"")</f>
        <v/>
      </c>
      <c r="V21" s="1" t="str">
        <f>IF(U21&lt;&gt;"",INDEX($G$3:$I$228,MATCH($U21,$T$3:$T$228,0),COLUMNS($U$3:U21)),"")</f>
        <v/>
      </c>
      <c r="W21" s="1" t="str">
        <f>IF(V21&lt;&gt;"",INDEX($G$3:$I$228,MATCH($U21,$T$3:$T$228,0),COLUMNS($U$3:V21)),"")</f>
        <v/>
      </c>
      <c r="X21" s="1" t="str">
        <f>IF(W21&lt;&gt;"",INDEX($G$3:$I$228,MATCH($U21,$T$3:$T$228,0),COLUMNS($U$3:W21)),"")</f>
        <v/>
      </c>
      <c r="Z21" s="1" t="b">
        <f t="shared" si="2"/>
        <v>1</v>
      </c>
      <c r="AA21" s="1">
        <f>IF(Z21=TRUE,ROWS($Z$3:Z21),"")</f>
        <v>19</v>
      </c>
      <c r="AB21" s="1">
        <f>IFERROR(SMALL($AA$3:$AA$228,ROWS($AA$3:AA21)),"")</f>
        <v>19</v>
      </c>
      <c r="AC21" s="1" t="str">
        <f>IF(AB21&lt;&gt;"",INDEX($G$3:$I$228,MATCH($AB21,$AA$3:$AA$228,0),COLUMNS($AA$3:AA21)),"")</f>
        <v>A-One Mombasa</v>
      </c>
      <c r="AD21" s="1">
        <f>IF(AC21&lt;&gt;"",INDEX($G$3:$I$228,MATCH($AB21,$AA$3:$AA$228,0),COLUMNS($AA$3:AB21)),"")</f>
        <v>470800.64000000001</v>
      </c>
      <c r="AE21" s="1" t="str">
        <f>IF(AD21&lt;&gt;"",INDEX($G$3:$I$228,MATCH($AB21,$AA$3:$AA$228,0),COLUMNS($AA$3:AC21)),"")</f>
        <v>Coast</v>
      </c>
    </row>
    <row r="22" spans="1:31" x14ac:dyDescent="0.2">
      <c r="A22" s="2">
        <v>44746</v>
      </c>
      <c r="B22" s="1" t="s">
        <v>38</v>
      </c>
      <c r="C22" s="1" t="s">
        <v>3</v>
      </c>
      <c r="D22" s="1">
        <v>132586</v>
      </c>
      <c r="E22" s="3">
        <v>49395.24</v>
      </c>
      <c r="F22" s="1" t="s">
        <v>4</v>
      </c>
      <c r="G22" s="1" t="s">
        <v>184</v>
      </c>
      <c r="H22" s="3">
        <f>SUMIFS(Table1[Value],Table1[Outlets],G22)</f>
        <v>406279.15</v>
      </c>
      <c r="I22" s="1" t="str">
        <f>IFERROR(VLOOKUP(G22,Table1[[Outlets]:[Region]],2,0),"")</f>
        <v>Nairobi</v>
      </c>
      <c r="K22" s="1" t="b">
        <f t="shared" si="0"/>
        <v>0</v>
      </c>
      <c r="L22" s="1" t="str">
        <f>IF(K22=TRUE,ROWS($J$3:J22),"")</f>
        <v/>
      </c>
      <c r="M22" s="1">
        <f>IFERROR(SMALL($L$3:$L$228,ROWS($L$3:L22)),"")</f>
        <v>87</v>
      </c>
      <c r="N22" s="1" t="str">
        <f>IF(M22&lt;&gt;"",INDEX($G$3:$I$228,MATCH($M22,$L$3:$L$228,0),COLUMNS($L$3:L22)),"")</f>
        <v>Chandarana Nairobi</v>
      </c>
      <c r="O22" s="3">
        <f>IF(N22&lt;&gt;"",INDEX($G$3:$I$228,MATCH($M22,$L$3:$L$228,0),COLUMNS($L$3:M22)),"")</f>
        <v>86808.19</v>
      </c>
      <c r="P22" s="1" t="str">
        <f>IF(O22&lt;&gt;"",INDEX($G$3:$I$228,MATCH($M22,$L$3:$L$228,0),COLUMNS($L$3:N22)),"")</f>
        <v>Nairobi</v>
      </c>
      <c r="S22" s="1" t="b">
        <f t="shared" si="1"/>
        <v>0</v>
      </c>
      <c r="T22" s="1" t="str">
        <f>IF(S22=TRUE,ROWS($S$3:S22),"")</f>
        <v/>
      </c>
      <c r="U22" s="1" t="str">
        <f>IFERROR(SMALL($T$3:$T$228,ROWS($T$3:T22)),"")</f>
        <v/>
      </c>
      <c r="V22" s="1" t="str">
        <f>IF(U22&lt;&gt;"",INDEX($G$3:$I$228,MATCH($U22,$T$3:$T$228,0),COLUMNS($U$3:U22)),"")</f>
        <v/>
      </c>
      <c r="W22" s="1" t="str">
        <f>IF(V22&lt;&gt;"",INDEX($G$3:$I$228,MATCH($U22,$T$3:$T$228,0),COLUMNS($U$3:V22)),"")</f>
        <v/>
      </c>
      <c r="X22" s="1" t="str">
        <f>IF(W22&lt;&gt;"",INDEX($G$3:$I$228,MATCH($U22,$T$3:$T$228,0),COLUMNS($U$3:W22)),"")</f>
        <v/>
      </c>
      <c r="Z22" s="1" t="b">
        <f t="shared" si="2"/>
        <v>1</v>
      </c>
      <c r="AA22" s="1">
        <f>IF(Z22=TRUE,ROWS($Z$3:Z22),"")</f>
        <v>20</v>
      </c>
      <c r="AB22" s="1">
        <f>IFERROR(SMALL($AA$3:$AA$228,ROWS($AA$3:AA22)),"")</f>
        <v>20</v>
      </c>
      <c r="AC22" s="1" t="str">
        <f>IF(AB22&lt;&gt;"",INDEX($G$3:$I$228,MATCH($AB22,$AA$3:$AA$228,0),COLUMNS($AA$3:AA22)),"")</f>
        <v>Cleanshelf Hq</v>
      </c>
      <c r="AD22" s="1">
        <f>IF(AC22&lt;&gt;"",INDEX($G$3:$I$228,MATCH($AB22,$AA$3:$AA$228,0),COLUMNS($AA$3:AB22)),"")</f>
        <v>406279.15</v>
      </c>
      <c r="AE22" s="1" t="str">
        <f>IF(AD22&lt;&gt;"",INDEX($G$3:$I$228,MATCH($AB22,$AA$3:$AA$228,0),COLUMNS($AA$3:AC22)),"")</f>
        <v>Nairobi</v>
      </c>
    </row>
    <row r="23" spans="1:31" x14ac:dyDescent="0.2">
      <c r="A23" s="2">
        <v>44746</v>
      </c>
      <c r="B23" s="1" t="s">
        <v>39</v>
      </c>
      <c r="C23" s="1" t="s">
        <v>3</v>
      </c>
      <c r="D23" s="1">
        <v>132588</v>
      </c>
      <c r="E23" s="3">
        <v>19711.04</v>
      </c>
      <c r="F23" s="1" t="s">
        <v>11</v>
      </c>
      <c r="G23" s="1" t="s">
        <v>59</v>
      </c>
      <c r="H23" s="3">
        <f>SUMIFS(Table1[Value],Table1[Outlets],G23)</f>
        <v>383305.79000000004</v>
      </c>
      <c r="I23" s="1" t="str">
        <f>IFERROR(VLOOKUP(G23,Table1[[Outlets]:[Region]],2,0),"")</f>
        <v>Coast</v>
      </c>
      <c r="K23" s="1" t="b">
        <f t="shared" si="0"/>
        <v>1</v>
      </c>
      <c r="L23" s="1">
        <f>IF(K23=TRUE,ROWS($J$3:J23),"")</f>
        <v>21</v>
      </c>
      <c r="M23" s="1">
        <f>IFERROR(SMALL($L$3:$L$228,ROWS($L$3:L23)),"")</f>
        <v>93</v>
      </c>
      <c r="N23" s="1" t="str">
        <f>IF(M23&lt;&gt;"",INDEX($G$3:$I$228,MATCH($M23,$L$3:$L$228,0),COLUMNS($L$3:L23)),"")</f>
        <v>Chandarana Kakamega</v>
      </c>
      <c r="O23" s="3">
        <f>IF(N23&lt;&gt;"",INDEX($G$3:$I$228,MATCH($M23,$L$3:$L$228,0),COLUMNS($L$3:M23)),"")</f>
        <v>82278.27</v>
      </c>
      <c r="P23" s="1" t="str">
        <f>IF(O23&lt;&gt;"",INDEX($G$3:$I$228,MATCH($M23,$L$3:$L$228,0),COLUMNS($L$3:N23)),"")</f>
        <v>Western</v>
      </c>
      <c r="S23" s="1" t="b">
        <f t="shared" si="1"/>
        <v>0</v>
      </c>
      <c r="T23" s="1" t="str">
        <f>IF(S23=TRUE,ROWS($S$3:S23),"")</f>
        <v/>
      </c>
      <c r="U23" s="1" t="str">
        <f>IFERROR(SMALL($T$3:$T$228,ROWS($T$3:T23)),"")</f>
        <v/>
      </c>
      <c r="V23" s="1" t="str">
        <f>IF(U23&lt;&gt;"",INDEX($G$3:$I$228,MATCH($U23,$T$3:$T$228,0),COLUMNS($U$3:U23)),"")</f>
        <v/>
      </c>
      <c r="W23" s="1" t="str">
        <f>IF(V23&lt;&gt;"",INDEX($G$3:$I$228,MATCH($U23,$T$3:$T$228,0),COLUMNS($U$3:V23)),"")</f>
        <v/>
      </c>
      <c r="X23" s="1" t="str">
        <f>IF(W23&lt;&gt;"",INDEX($G$3:$I$228,MATCH($U23,$T$3:$T$228,0),COLUMNS($U$3:W23)),"")</f>
        <v/>
      </c>
      <c r="Z23" s="1" t="b">
        <f t="shared" si="2"/>
        <v>1</v>
      </c>
      <c r="AA23" s="1">
        <f>IF(Z23=TRUE,ROWS($Z$3:Z23),"")</f>
        <v>21</v>
      </c>
      <c r="AB23" s="1">
        <f>IFERROR(SMALL($AA$3:$AA$228,ROWS($AA$3:AA23)),"")</f>
        <v>21</v>
      </c>
      <c r="AC23" s="1" t="str">
        <f>IF(AB23&lt;&gt;"",INDEX($G$3:$I$228,MATCH($AB23,$AA$3:$AA$228,0),COLUMNS($AA$3:AA23)),"")</f>
        <v>Chandarana Nyali</v>
      </c>
      <c r="AD23" s="1">
        <f>IF(AC23&lt;&gt;"",INDEX($G$3:$I$228,MATCH($AB23,$AA$3:$AA$228,0),COLUMNS($AA$3:AB23)),"")</f>
        <v>383305.79000000004</v>
      </c>
      <c r="AE23" s="1" t="str">
        <f>IF(AD23&lt;&gt;"",INDEX($G$3:$I$228,MATCH($AB23,$AA$3:$AA$228,0),COLUMNS($AA$3:AC23)),"")</f>
        <v>Coast</v>
      </c>
    </row>
    <row r="24" spans="1:31" x14ac:dyDescent="0.2">
      <c r="A24" s="2">
        <v>44746</v>
      </c>
      <c r="B24" s="1" t="s">
        <v>40</v>
      </c>
      <c r="C24" s="1" t="s">
        <v>3</v>
      </c>
      <c r="D24" s="1">
        <v>132589</v>
      </c>
      <c r="E24" s="3">
        <v>35883.629999999997</v>
      </c>
      <c r="F24" s="1" t="s">
        <v>11</v>
      </c>
      <c r="G24" s="1" t="s">
        <v>51</v>
      </c>
      <c r="H24" s="3">
        <f>SUMIFS(Table1[Value],Table1[Outlets],G24)</f>
        <v>342915.53</v>
      </c>
      <c r="I24" s="1" t="str">
        <f>IFERROR(VLOOKUP(G24,Table1[[Outlets]:[Region]],2,0),"")</f>
        <v>Coast</v>
      </c>
      <c r="K24" s="1" t="b">
        <f t="shared" si="0"/>
        <v>0</v>
      </c>
      <c r="L24" s="1" t="str">
        <f>IF(K24=TRUE,ROWS($J$3:J24),"")</f>
        <v/>
      </c>
      <c r="M24" s="1">
        <f>IFERROR(SMALL($L$3:$L$228,ROWS($L$3:L24)),"")</f>
        <v>98</v>
      </c>
      <c r="N24" s="1" t="str">
        <f>IF(M24&lt;&gt;"",INDEX($G$3:$I$228,MATCH($M24,$L$3:$L$228,0),COLUMNS($L$3:L24)),"")</f>
        <v>Chandarana Highridge</v>
      </c>
      <c r="O24" s="3">
        <f>IF(N24&lt;&gt;"",INDEX($G$3:$I$228,MATCH($M24,$L$3:$L$228,0),COLUMNS($L$3:M24)),"")</f>
        <v>71286.549999999988</v>
      </c>
      <c r="P24" s="1" t="str">
        <f>IF(O24&lt;&gt;"",INDEX($G$3:$I$228,MATCH($M24,$L$3:$L$228,0),COLUMNS($L$3:N24)),"")</f>
        <v>Nairobi</v>
      </c>
      <c r="S24" s="1" t="b">
        <f t="shared" si="1"/>
        <v>0</v>
      </c>
      <c r="T24" s="1" t="str">
        <f>IF(S24=TRUE,ROWS($S$3:S24),"")</f>
        <v/>
      </c>
      <c r="U24" s="1" t="str">
        <f>IFERROR(SMALL($T$3:$T$228,ROWS($T$3:T24)),"")</f>
        <v/>
      </c>
      <c r="V24" s="1" t="str">
        <f>IF(U24&lt;&gt;"",INDEX($G$3:$I$228,MATCH($U24,$T$3:$T$228,0),COLUMNS($U$3:U24)),"")</f>
        <v/>
      </c>
      <c r="W24" s="1" t="str">
        <f>IF(V24&lt;&gt;"",INDEX($G$3:$I$228,MATCH($U24,$T$3:$T$228,0),COLUMNS($U$3:V24)),"")</f>
        <v/>
      </c>
      <c r="X24" s="1" t="str">
        <f>IF(W24&lt;&gt;"",INDEX($G$3:$I$228,MATCH($U24,$T$3:$T$228,0),COLUMNS($U$3:W24)),"")</f>
        <v/>
      </c>
      <c r="Z24" s="1" t="b">
        <f t="shared" si="2"/>
        <v>1</v>
      </c>
      <c r="AA24" s="1">
        <f>IF(Z24=TRUE,ROWS($Z$3:Z24),"")</f>
        <v>22</v>
      </c>
      <c r="AB24" s="1">
        <f>IFERROR(SMALL($AA$3:$AA$228,ROWS($AA$3:AA24)),"")</f>
        <v>22</v>
      </c>
      <c r="AC24" s="1" t="str">
        <f>IF(AB24&lt;&gt;"",INDEX($G$3:$I$228,MATCH($AB24,$AA$3:$AA$228,0),COLUMNS($AA$3:AA24)),"")</f>
        <v>Naivas Mwembe</v>
      </c>
      <c r="AD24" s="1">
        <f>IF(AC24&lt;&gt;"",INDEX($G$3:$I$228,MATCH($AB24,$AA$3:$AA$228,0),COLUMNS($AA$3:AB24)),"")</f>
        <v>342915.53</v>
      </c>
      <c r="AE24" s="1" t="str">
        <f>IF(AD24&lt;&gt;"",INDEX($G$3:$I$228,MATCH($AB24,$AA$3:$AA$228,0),COLUMNS($AA$3:AC24)),"")</f>
        <v>Coast</v>
      </c>
    </row>
    <row r="25" spans="1:31" x14ac:dyDescent="0.2">
      <c r="A25" s="2">
        <v>44746</v>
      </c>
      <c r="B25" s="1" t="s">
        <v>41</v>
      </c>
      <c r="C25" s="1" t="s">
        <v>3</v>
      </c>
      <c r="D25" s="1">
        <v>132590</v>
      </c>
      <c r="E25" s="3">
        <v>12732.69</v>
      </c>
      <c r="F25" s="1" t="s">
        <v>11</v>
      </c>
      <c r="G25" s="1" t="s">
        <v>26</v>
      </c>
      <c r="H25" s="3">
        <f>SUMIFS(Table1[Value],Table1[Outlets],G25)</f>
        <v>342863.81</v>
      </c>
      <c r="I25" s="1" t="str">
        <f>IFERROR(VLOOKUP(G25,Table1[[Outlets]:[Region]],2,0),"")</f>
        <v>Nairobi</v>
      </c>
      <c r="K25" s="1" t="b">
        <f t="shared" si="0"/>
        <v>0</v>
      </c>
      <c r="L25" s="1" t="str">
        <f>IF(K25=TRUE,ROWS($J$3:J25),"")</f>
        <v/>
      </c>
      <c r="M25" s="1">
        <f>IFERROR(SMALL($L$3:$L$228,ROWS($L$3:L25)),"")</f>
        <v>112</v>
      </c>
      <c r="N25" s="1" t="str">
        <f>IF(M25&lt;&gt;"",INDEX($G$3:$I$228,MATCH($M25,$L$3:$L$228,0),COLUMNS($L$3:L25)),"")</f>
        <v>Chandarana Buffalo</v>
      </c>
      <c r="O25" s="3">
        <f>IF(N25&lt;&gt;"",INDEX($G$3:$I$228,MATCH($M25,$L$3:$L$228,0),COLUMNS($L$3:M25)),"")</f>
        <v>60411.11</v>
      </c>
      <c r="P25" s="1" t="str">
        <f>IF(O25&lt;&gt;"",INDEX($G$3:$I$228,MATCH($M25,$L$3:$L$228,0),COLUMNS($L$3:N25)),"")</f>
        <v>Nairobi</v>
      </c>
      <c r="S25" s="1" t="b">
        <f t="shared" si="1"/>
        <v>0</v>
      </c>
      <c r="T25" s="1" t="str">
        <f>IF(S25=TRUE,ROWS($S$3:S25),"")</f>
        <v/>
      </c>
      <c r="U25" s="1" t="str">
        <f>IFERROR(SMALL($T$3:$T$228,ROWS($T$3:T25)),"")</f>
        <v/>
      </c>
      <c r="V25" s="1" t="str">
        <f>IF(U25&lt;&gt;"",INDEX($G$3:$I$228,MATCH($U25,$T$3:$T$228,0),COLUMNS($U$3:U25)),"")</f>
        <v/>
      </c>
      <c r="W25" s="1" t="str">
        <f>IF(V25&lt;&gt;"",INDEX($G$3:$I$228,MATCH($U25,$T$3:$T$228,0),COLUMNS($U$3:V25)),"")</f>
        <v/>
      </c>
      <c r="X25" s="1" t="str">
        <f>IF(W25&lt;&gt;"",INDEX($G$3:$I$228,MATCH($U25,$T$3:$T$228,0),COLUMNS($U$3:W25)),"")</f>
        <v/>
      </c>
      <c r="Z25" s="1" t="b">
        <f t="shared" si="2"/>
        <v>1</v>
      </c>
      <c r="AA25" s="1">
        <f>IF(Z25=TRUE,ROWS($Z$3:Z25),"")</f>
        <v>23</v>
      </c>
      <c r="AB25" s="1">
        <f>IFERROR(SMALL($AA$3:$AA$228,ROWS($AA$3:AA25)),"")</f>
        <v>23</v>
      </c>
      <c r="AC25" s="1" t="str">
        <f>IF(AB25&lt;&gt;"",INDEX($G$3:$I$228,MATCH($AB25,$AA$3:$AA$228,0),COLUMNS($AA$3:AA25)),"")</f>
        <v>Naivas Likoni</v>
      </c>
      <c r="AD25" s="1">
        <f>IF(AC25&lt;&gt;"",INDEX($G$3:$I$228,MATCH($AB25,$AA$3:$AA$228,0),COLUMNS($AA$3:AB25)),"")</f>
        <v>342863.81</v>
      </c>
      <c r="AE25" s="1" t="str">
        <f>IF(AD25&lt;&gt;"",INDEX($G$3:$I$228,MATCH($AB25,$AA$3:$AA$228,0),COLUMNS($AA$3:AC25)),"")</f>
        <v>Nairobi</v>
      </c>
    </row>
    <row r="26" spans="1:31" x14ac:dyDescent="0.2">
      <c r="A26" s="2">
        <v>44746</v>
      </c>
      <c r="B26" s="1" t="s">
        <v>42</v>
      </c>
      <c r="C26" s="1" t="s">
        <v>3</v>
      </c>
      <c r="D26" s="1">
        <v>132591</v>
      </c>
      <c r="E26" s="3">
        <v>15489.07</v>
      </c>
      <c r="F26" s="1" t="s">
        <v>9</v>
      </c>
      <c r="G26" s="1" t="s">
        <v>95</v>
      </c>
      <c r="H26" s="3">
        <f>SUMIFS(Table1[Value],Table1[Outlets],G26)</f>
        <v>327928.5</v>
      </c>
      <c r="I26" s="1" t="str">
        <f>IFERROR(VLOOKUP(G26,Table1[[Outlets]:[Region]],2,0),"")</f>
        <v>Central</v>
      </c>
      <c r="K26" s="1" t="b">
        <f t="shared" si="0"/>
        <v>1</v>
      </c>
      <c r="L26" s="1">
        <f>IF(K26=TRUE,ROWS($J$3:J26),"")</f>
        <v>24</v>
      </c>
      <c r="M26" s="1">
        <f>IFERROR(SMALL($L$3:$L$228,ROWS($L$3:L26)),"")</f>
        <v>130</v>
      </c>
      <c r="N26" s="1" t="str">
        <f>IF(M26&lt;&gt;"",INDEX($G$3:$I$228,MATCH($M26,$L$3:$L$228,0),COLUMNS($L$3:L26)),"")</f>
        <v>Chandarana Airport Center</v>
      </c>
      <c r="O26" s="3">
        <f>IF(N26&lt;&gt;"",INDEX($G$3:$I$228,MATCH($M26,$L$3:$L$228,0),COLUMNS($L$3:M26)),"")</f>
        <v>44888.95</v>
      </c>
      <c r="P26" s="1" t="str">
        <f>IF(O26&lt;&gt;"",INDEX($G$3:$I$228,MATCH($M26,$L$3:$L$228,0),COLUMNS($L$3:N26)),"")</f>
        <v>Coast</v>
      </c>
      <c r="S26" s="1" t="b">
        <f t="shared" si="1"/>
        <v>0</v>
      </c>
      <c r="T26" s="1" t="str">
        <f>IF(S26=TRUE,ROWS($S$3:S26),"")</f>
        <v/>
      </c>
      <c r="U26" s="1" t="str">
        <f>IFERROR(SMALL($T$3:$T$228,ROWS($T$3:T26)),"")</f>
        <v/>
      </c>
      <c r="V26" s="1" t="str">
        <f>IF(U26&lt;&gt;"",INDEX($G$3:$I$228,MATCH($U26,$T$3:$T$228,0),COLUMNS($U$3:U26)),"")</f>
        <v/>
      </c>
      <c r="W26" s="1" t="str">
        <f>IF(V26&lt;&gt;"",INDEX($G$3:$I$228,MATCH($U26,$T$3:$T$228,0),COLUMNS($U$3:V26)),"")</f>
        <v/>
      </c>
      <c r="X26" s="1" t="str">
        <f>IF(W26&lt;&gt;"",INDEX($G$3:$I$228,MATCH($U26,$T$3:$T$228,0),COLUMNS($U$3:W26)),"")</f>
        <v/>
      </c>
      <c r="Z26" s="1" t="b">
        <f t="shared" si="2"/>
        <v>1</v>
      </c>
      <c r="AA26" s="1">
        <f>IF(Z26=TRUE,ROWS($Z$3:Z26),"")</f>
        <v>24</v>
      </c>
      <c r="AB26" s="1">
        <f>IFERROR(SMALL($AA$3:$AA$228,ROWS($AA$3:AA26)),"")</f>
        <v>24</v>
      </c>
      <c r="AC26" s="1" t="str">
        <f>IF(AB26&lt;&gt;"",INDEX($G$3:$I$228,MATCH($AB26,$AA$3:$AA$228,0),COLUMNS($AA$3:AA26)),"")</f>
        <v>Chandarana Nanyuki</v>
      </c>
      <c r="AD26" s="1">
        <f>IF(AC26&lt;&gt;"",INDEX($G$3:$I$228,MATCH($AB26,$AA$3:$AA$228,0),COLUMNS($AA$3:AB26)),"")</f>
        <v>327928.5</v>
      </c>
      <c r="AE26" s="1" t="str">
        <f>IF(AD26&lt;&gt;"",INDEX($G$3:$I$228,MATCH($AB26,$AA$3:$AA$228,0),COLUMNS($AA$3:AC26)),"")</f>
        <v>Central</v>
      </c>
    </row>
    <row r="27" spans="1:31" x14ac:dyDescent="0.2">
      <c r="A27" s="2">
        <v>44746</v>
      </c>
      <c r="B27" s="1" t="s">
        <v>43</v>
      </c>
      <c r="C27" s="1" t="s">
        <v>3</v>
      </c>
      <c r="D27" s="1">
        <v>132592</v>
      </c>
      <c r="E27" s="3">
        <v>28864.66</v>
      </c>
      <c r="F27" s="1" t="s">
        <v>9</v>
      </c>
      <c r="G27" s="1" t="s">
        <v>35</v>
      </c>
      <c r="H27" s="3">
        <f>SUMIFS(Table1[Value],Table1[Outlets],G27)</f>
        <v>322381.57</v>
      </c>
      <c r="I27" s="1" t="str">
        <f>IFERROR(VLOOKUP(G27,Table1[[Outlets]:[Region]],2,0),"")</f>
        <v>Nairobi</v>
      </c>
      <c r="K27" s="1" t="b">
        <f t="shared" si="0"/>
        <v>1</v>
      </c>
      <c r="L27" s="1">
        <f>IF(K27=TRUE,ROWS($J$3:J27),"")</f>
        <v>25</v>
      </c>
      <c r="M27" s="1">
        <f>IFERROR(SMALL($L$3:$L$228,ROWS($L$3:L27)),"")</f>
        <v>143</v>
      </c>
      <c r="N27" s="1" t="str">
        <f>IF(M27&lt;&gt;"",INDEX($G$3:$I$228,MATCH($M27,$L$3:$L$228,0),COLUMNS($L$3:L27)),"")</f>
        <v>Chandarana Nakuru</v>
      </c>
      <c r="O27" s="3">
        <f>IF(N27&lt;&gt;"",INDEX($G$3:$I$228,MATCH($M27,$L$3:$L$228,0),COLUMNS($L$3:M27)),"")</f>
        <v>37446.28</v>
      </c>
      <c r="P27" s="1" t="str">
        <f>IF(O27&lt;&gt;"",INDEX($G$3:$I$228,MATCH($M27,$L$3:$L$228,0),COLUMNS($L$3:N27)),"")</f>
        <v>Rift valley</v>
      </c>
      <c r="S27" s="1" t="b">
        <f t="shared" si="1"/>
        <v>0</v>
      </c>
      <c r="T27" s="1" t="str">
        <f>IF(S27=TRUE,ROWS($S$3:S27),"")</f>
        <v/>
      </c>
      <c r="U27" s="1" t="str">
        <f>IFERROR(SMALL($T$3:$T$228,ROWS($T$3:T27)),"")</f>
        <v/>
      </c>
      <c r="V27" s="1" t="str">
        <f>IF(U27&lt;&gt;"",INDEX($G$3:$I$228,MATCH($U27,$T$3:$T$228,0),COLUMNS($U$3:U27)),"")</f>
        <v/>
      </c>
      <c r="W27" s="1" t="str">
        <f>IF(V27&lt;&gt;"",INDEX($G$3:$I$228,MATCH($U27,$T$3:$T$228,0),COLUMNS($U$3:V27)),"")</f>
        <v/>
      </c>
      <c r="X27" s="1" t="str">
        <f>IF(W27&lt;&gt;"",INDEX($G$3:$I$228,MATCH($U27,$T$3:$T$228,0),COLUMNS($U$3:W27)),"")</f>
        <v/>
      </c>
      <c r="Z27" s="1" t="b">
        <f t="shared" si="2"/>
        <v>1</v>
      </c>
      <c r="AA27" s="1">
        <f>IF(Z27=TRUE,ROWS($Z$3:Z27),"")</f>
        <v>25</v>
      </c>
      <c r="AB27" s="1">
        <f>IFERROR(SMALL($AA$3:$AA$228,ROWS($AA$3:AA27)),"")</f>
        <v>25</v>
      </c>
      <c r="AC27" s="1" t="str">
        <f>IF(AB27&lt;&gt;"",INDEX($G$3:$I$228,MATCH($AB27,$AA$3:$AA$228,0),COLUMNS($AA$3:AA27)),"")</f>
        <v>Chandarana Ridgeways</v>
      </c>
      <c r="AD27" s="1">
        <f>IF(AC27&lt;&gt;"",INDEX($G$3:$I$228,MATCH($AB27,$AA$3:$AA$228,0),COLUMNS($AA$3:AB27)),"")</f>
        <v>322381.57</v>
      </c>
      <c r="AE27" s="1" t="str">
        <f>IF(AD27&lt;&gt;"",INDEX($G$3:$I$228,MATCH($AB27,$AA$3:$AA$228,0),COLUMNS($AA$3:AC27)),"")</f>
        <v>Nairobi</v>
      </c>
    </row>
    <row r="28" spans="1:31" x14ac:dyDescent="0.2">
      <c r="A28" s="2">
        <v>44746</v>
      </c>
      <c r="B28" s="1" t="s">
        <v>44</v>
      </c>
      <c r="C28" s="1" t="s">
        <v>3</v>
      </c>
      <c r="D28" s="1">
        <v>132593</v>
      </c>
      <c r="E28" s="3">
        <v>63368.87</v>
      </c>
      <c r="F28" s="1" t="s">
        <v>9</v>
      </c>
      <c r="G28" s="1" t="s">
        <v>153</v>
      </c>
      <c r="H28" s="3">
        <f>SUMIFS(Table1[Value],Table1[Outlets],G28)</f>
        <v>319000.21999999997</v>
      </c>
      <c r="I28" s="1" t="str">
        <f>IFERROR(VLOOKUP(G28,Table1[[Outlets]:[Region]],2,0),"")</f>
        <v>Nairobi</v>
      </c>
      <c r="K28" s="1" t="b">
        <f t="shared" si="0"/>
        <v>0</v>
      </c>
      <c r="L28" s="1" t="str">
        <f>IF(K28=TRUE,ROWS($J$3:J28),"")</f>
        <v/>
      </c>
      <c r="M28" s="1">
        <f>IFERROR(SMALL($L$3:$L$228,ROWS($L$3:L28)),"")</f>
        <v>169</v>
      </c>
      <c r="N28" s="1" t="str">
        <f>IF(M28&lt;&gt;"",INDEX($G$3:$I$228,MATCH($M28,$L$3:$L$228,0),COLUMNS($L$3:L28)),"")</f>
        <v>Chandarana Diani</v>
      </c>
      <c r="O28" s="3">
        <f>IF(N28&lt;&gt;"",INDEX($G$3:$I$228,MATCH($M28,$L$3:$L$228,0),COLUMNS($L$3:M28)),"")</f>
        <v>28620.67</v>
      </c>
      <c r="P28" s="1" t="str">
        <f>IF(O28&lt;&gt;"",INDEX($G$3:$I$228,MATCH($M28,$L$3:$L$228,0),COLUMNS($L$3:N28)),"")</f>
        <v>Coast</v>
      </c>
      <c r="S28" s="1" t="b">
        <f t="shared" si="1"/>
        <v>0</v>
      </c>
      <c r="T28" s="1" t="str">
        <f>IF(S28=TRUE,ROWS($S$3:S28),"")</f>
        <v/>
      </c>
      <c r="U28" s="1" t="str">
        <f>IFERROR(SMALL($T$3:$T$228,ROWS($T$3:T28)),"")</f>
        <v/>
      </c>
      <c r="V28" s="1" t="str">
        <f>IF(U28&lt;&gt;"",INDEX($G$3:$I$228,MATCH($U28,$T$3:$T$228,0),COLUMNS($U$3:U28)),"")</f>
        <v/>
      </c>
      <c r="W28" s="1" t="str">
        <f>IF(V28&lt;&gt;"",INDEX($G$3:$I$228,MATCH($U28,$T$3:$T$228,0),COLUMNS($U$3:V28)),"")</f>
        <v/>
      </c>
      <c r="X28" s="1" t="str">
        <f>IF(W28&lt;&gt;"",INDEX($G$3:$I$228,MATCH($U28,$T$3:$T$228,0),COLUMNS($U$3:W28)),"")</f>
        <v/>
      </c>
      <c r="Z28" s="1" t="b">
        <f t="shared" si="2"/>
        <v>1</v>
      </c>
      <c r="AA28" s="1">
        <f>IF(Z28=TRUE,ROWS($Z$3:Z28),"")</f>
        <v>26</v>
      </c>
      <c r="AB28" s="1">
        <f>IFERROR(SMALL($AA$3:$AA$228,ROWS($AA$3:AA28)),"")</f>
        <v>26</v>
      </c>
      <c r="AC28" s="1" t="str">
        <f>IF(AB28&lt;&gt;"",INDEX($G$3:$I$228,MATCH($AB28,$AA$3:$AA$228,0),COLUMNS($AA$3:AA28)),"")</f>
        <v>Quickmart Lavington</v>
      </c>
      <c r="AD28" s="1">
        <f>IF(AC28&lt;&gt;"",INDEX($G$3:$I$228,MATCH($AB28,$AA$3:$AA$228,0),COLUMNS($AA$3:AB28)),"")</f>
        <v>319000.21999999997</v>
      </c>
      <c r="AE28" s="1" t="str">
        <f>IF(AD28&lt;&gt;"",INDEX($G$3:$I$228,MATCH($AB28,$AA$3:$AA$228,0),COLUMNS($AA$3:AC28)),"")</f>
        <v>Nairobi</v>
      </c>
    </row>
    <row r="29" spans="1:31" x14ac:dyDescent="0.2">
      <c r="A29" s="2">
        <v>44746</v>
      </c>
      <c r="B29" s="1" t="s">
        <v>45</v>
      </c>
      <c r="C29" s="1" t="s">
        <v>3</v>
      </c>
      <c r="D29" s="1">
        <v>132594</v>
      </c>
      <c r="E29" s="3">
        <v>10667.84</v>
      </c>
      <c r="F29" s="1" t="s">
        <v>9</v>
      </c>
      <c r="G29" s="1" t="s">
        <v>76</v>
      </c>
      <c r="H29" s="3">
        <f>SUMIFS(Table1[Value],Table1[Outlets],G29)</f>
        <v>302171.32</v>
      </c>
      <c r="I29" s="1" t="str">
        <f>IFERROR(VLOOKUP(G29,Table1[[Outlets]:[Region]],2,0),"")</f>
        <v>Coast</v>
      </c>
      <c r="K29" s="1" t="b">
        <f t="shared" si="0"/>
        <v>0</v>
      </c>
      <c r="L29" s="1" t="str">
        <f>IF(K29=TRUE,ROWS($J$3:J29),"")</f>
        <v/>
      </c>
      <c r="M29" s="1">
        <f>IFERROR(SMALL($L$3:$L$228,ROWS($L$3:L29)),"")</f>
        <v>213</v>
      </c>
      <c r="N29" s="1" t="str">
        <f>IF(M29&lt;&gt;"",INDEX($G$3:$I$228,MATCH($M29,$L$3:$L$228,0),COLUMNS($L$3:L29)),"")</f>
        <v>Chandarana Karen</v>
      </c>
      <c r="O29" s="3">
        <f>IF(N29&lt;&gt;"",INDEX($G$3:$I$228,MATCH($M29,$L$3:$L$228,0),COLUMNS($L$3:M29)),"")</f>
        <v>9674.39</v>
      </c>
      <c r="P29" s="1" t="str">
        <f>IF(O29&lt;&gt;"",INDEX($G$3:$I$228,MATCH($M29,$L$3:$L$228,0),COLUMNS($L$3:N29)),"")</f>
        <v>Nairobi</v>
      </c>
      <c r="S29" s="1" t="b">
        <f t="shared" si="1"/>
        <v>0</v>
      </c>
      <c r="T29" s="1" t="str">
        <f>IF(S29=TRUE,ROWS($S$3:S29),"")</f>
        <v/>
      </c>
      <c r="U29" s="1" t="str">
        <f>IFERROR(SMALL($T$3:$T$228,ROWS($T$3:T29)),"")</f>
        <v/>
      </c>
      <c r="V29" s="1" t="str">
        <f>IF(U29&lt;&gt;"",INDEX($G$3:$I$228,MATCH($U29,$T$3:$T$228,0),COLUMNS($U$3:U29)),"")</f>
        <v/>
      </c>
      <c r="W29" s="1" t="str">
        <f>IF(V29&lt;&gt;"",INDEX($G$3:$I$228,MATCH($U29,$T$3:$T$228,0),COLUMNS($U$3:V29)),"")</f>
        <v/>
      </c>
      <c r="X29" s="1" t="str">
        <f>IF(W29&lt;&gt;"",INDEX($G$3:$I$228,MATCH($U29,$T$3:$T$228,0),COLUMNS($U$3:W29)),"")</f>
        <v/>
      </c>
      <c r="Z29" s="1" t="b">
        <f t="shared" si="2"/>
        <v>1</v>
      </c>
      <c r="AA29" s="1">
        <f>IF(Z29=TRUE,ROWS($Z$3:Z29),"")</f>
        <v>27</v>
      </c>
      <c r="AB29" s="1">
        <f>IFERROR(SMALL($AA$3:$AA$228,ROWS($AA$3:AA29)),"")</f>
        <v>27</v>
      </c>
      <c r="AC29" s="1" t="str">
        <f>IF(AB29&lt;&gt;"",INDEX($G$3:$I$228,MATCH($AB29,$AA$3:$AA$228,0),COLUMNS($AA$3:AA29)),"")</f>
        <v>Carrefour Nyali</v>
      </c>
      <c r="AD29" s="1">
        <f>IF(AC29&lt;&gt;"",INDEX($G$3:$I$228,MATCH($AB29,$AA$3:$AA$228,0),COLUMNS($AA$3:AB29)),"")</f>
        <v>302171.32</v>
      </c>
      <c r="AE29" s="1" t="str">
        <f>IF(AD29&lt;&gt;"",INDEX($G$3:$I$228,MATCH($AB29,$AA$3:$AA$228,0),COLUMNS($AA$3:AC29)),"")</f>
        <v>Coast</v>
      </c>
    </row>
    <row r="30" spans="1:31" x14ac:dyDescent="0.2">
      <c r="A30" s="2">
        <v>44746</v>
      </c>
      <c r="B30" s="1" t="s">
        <v>46</v>
      </c>
      <c r="C30" s="1" t="s">
        <v>3</v>
      </c>
      <c r="D30" s="1">
        <v>132595</v>
      </c>
      <c r="E30" s="3">
        <v>11203.02</v>
      </c>
      <c r="F30" s="1" t="s">
        <v>9</v>
      </c>
      <c r="G30" s="1" t="s">
        <v>53</v>
      </c>
      <c r="H30" s="3">
        <f>SUMIFS(Table1[Value],Table1[Outlets],G30)</f>
        <v>291717.65000000002</v>
      </c>
      <c r="I30" s="1" t="str">
        <f>IFERROR(VLOOKUP(G30,Table1[[Outlets]:[Region]],2,0),"")</f>
        <v>Nairobi</v>
      </c>
      <c r="K30" s="1" t="b">
        <f t="shared" si="0"/>
        <v>1</v>
      </c>
      <c r="L30" s="1">
        <f>IF(K30=TRUE,ROWS($J$3:J30),"")</f>
        <v>28</v>
      </c>
      <c r="M30" s="1" t="str">
        <f>IFERROR(SMALL($L$3:$L$228,ROWS($L$3:L30)),"")</f>
        <v/>
      </c>
      <c r="N30" s="1" t="str">
        <f>IF(M30&lt;&gt;"",INDEX($G$3:$I$228,MATCH($M30,$L$3:$L$228,0),COLUMNS($L$3:L30)),"")</f>
        <v/>
      </c>
      <c r="O30" s="3" t="str">
        <f>IF(N30&lt;&gt;"",INDEX($G$3:$I$228,MATCH($M30,$L$3:$L$228,0),COLUMNS($L$3:M30)),"")</f>
        <v/>
      </c>
      <c r="P30" s="1" t="str">
        <f>IF(O30&lt;&gt;"",INDEX($G$3:$I$228,MATCH($M30,$L$3:$L$228,0),COLUMNS($L$3:N30)),"")</f>
        <v/>
      </c>
      <c r="S30" s="1" t="b">
        <f t="shared" si="1"/>
        <v>0</v>
      </c>
      <c r="T30" s="1" t="str">
        <f>IF(S30=TRUE,ROWS($S$3:S30),"")</f>
        <v/>
      </c>
      <c r="U30" s="1" t="str">
        <f>IFERROR(SMALL($T$3:$T$228,ROWS($T$3:T30)),"")</f>
        <v/>
      </c>
      <c r="V30" s="1" t="str">
        <f>IF(U30&lt;&gt;"",INDEX($G$3:$I$228,MATCH($U30,$T$3:$T$228,0),COLUMNS($U$3:U30)),"")</f>
        <v/>
      </c>
      <c r="W30" s="1" t="str">
        <f>IF(V30&lt;&gt;"",INDEX($G$3:$I$228,MATCH($U30,$T$3:$T$228,0),COLUMNS($U$3:V30)),"")</f>
        <v/>
      </c>
      <c r="X30" s="1" t="str">
        <f>IF(W30&lt;&gt;"",INDEX($G$3:$I$228,MATCH($U30,$T$3:$T$228,0),COLUMNS($U$3:W30)),"")</f>
        <v/>
      </c>
      <c r="Z30" s="1" t="b">
        <f t="shared" si="2"/>
        <v>1</v>
      </c>
      <c r="AA30" s="1">
        <f>IF(Z30=TRUE,ROWS($Z$3:Z30),"")</f>
        <v>28</v>
      </c>
      <c r="AB30" s="1">
        <f>IFERROR(SMALL($AA$3:$AA$228,ROWS($AA$3:AA30)),"")</f>
        <v>28</v>
      </c>
      <c r="AC30" s="1" t="str">
        <f>IF(AB30&lt;&gt;"",INDEX($G$3:$I$228,MATCH($AB30,$AA$3:$AA$228,0),COLUMNS($AA$3:AA30)),"")</f>
        <v>Chandarana Rhapta</v>
      </c>
      <c r="AD30" s="1">
        <f>IF(AC30&lt;&gt;"",INDEX($G$3:$I$228,MATCH($AB30,$AA$3:$AA$228,0),COLUMNS($AA$3:AB30)),"")</f>
        <v>291717.65000000002</v>
      </c>
      <c r="AE30" s="1" t="str">
        <f>IF(AD30&lt;&gt;"",INDEX($G$3:$I$228,MATCH($AB30,$AA$3:$AA$228,0),COLUMNS($AA$3:AC30)),"")</f>
        <v>Nairobi</v>
      </c>
    </row>
    <row r="31" spans="1:31" x14ac:dyDescent="0.2">
      <c r="A31" s="2">
        <v>44746</v>
      </c>
      <c r="B31" s="1" t="s">
        <v>47</v>
      </c>
      <c r="C31" s="1" t="s">
        <v>3</v>
      </c>
      <c r="D31" s="1">
        <v>132596</v>
      </c>
      <c r="E31" s="3">
        <v>35313.980000000003</v>
      </c>
      <c r="F31" s="1" t="s">
        <v>9</v>
      </c>
      <c r="G31" s="1" t="s">
        <v>67</v>
      </c>
      <c r="H31" s="3">
        <f>SUMIFS(Table1[Value],Table1[Outlets],G31)</f>
        <v>275801.02</v>
      </c>
      <c r="I31" s="1" t="str">
        <f>IFERROR(VLOOKUP(G31,Table1[[Outlets]:[Region]],2,0),"")</f>
        <v>Nairobi</v>
      </c>
      <c r="K31" s="1" t="b">
        <f t="shared" si="0"/>
        <v>0</v>
      </c>
      <c r="L31" s="1" t="str">
        <f>IF(K31=TRUE,ROWS($J$3:J31),"")</f>
        <v/>
      </c>
      <c r="M31" s="1" t="str">
        <f>IFERROR(SMALL($L$3:$L$228,ROWS($L$3:L31)),"")</f>
        <v/>
      </c>
      <c r="N31" s="1" t="str">
        <f>IF(M31&lt;&gt;"",INDEX($G$3:$I$228,MATCH($M31,$L$3:$L$228,0),COLUMNS($L$3:L31)),"")</f>
        <v/>
      </c>
      <c r="O31" s="3" t="str">
        <f>IF(N31&lt;&gt;"",INDEX($G$3:$I$228,MATCH($M31,$L$3:$L$228,0),COLUMNS($L$3:M31)),"")</f>
        <v/>
      </c>
      <c r="P31" s="1" t="str">
        <f>IF(O31&lt;&gt;"",INDEX($G$3:$I$228,MATCH($M31,$L$3:$L$228,0),COLUMNS($L$3:N31)),"")</f>
        <v/>
      </c>
      <c r="S31" s="1" t="b">
        <f t="shared" si="1"/>
        <v>0</v>
      </c>
      <c r="T31" s="1" t="str">
        <f>IF(S31=TRUE,ROWS($S$3:S31),"")</f>
        <v/>
      </c>
      <c r="U31" s="1" t="str">
        <f>IFERROR(SMALL($T$3:$T$228,ROWS($T$3:T31)),"")</f>
        <v/>
      </c>
      <c r="V31" s="1" t="str">
        <f>IF(U31&lt;&gt;"",INDEX($G$3:$I$228,MATCH($U31,$T$3:$T$228,0),COLUMNS($U$3:U31)),"")</f>
        <v/>
      </c>
      <c r="W31" s="1" t="str">
        <f>IF(V31&lt;&gt;"",INDEX($G$3:$I$228,MATCH($U31,$T$3:$T$228,0),COLUMNS($U$3:V31)),"")</f>
        <v/>
      </c>
      <c r="X31" s="1" t="str">
        <f>IF(W31&lt;&gt;"",INDEX($G$3:$I$228,MATCH($U31,$T$3:$T$228,0),COLUMNS($U$3:W31)),"")</f>
        <v/>
      </c>
      <c r="Z31" s="1" t="b">
        <f t="shared" si="2"/>
        <v>1</v>
      </c>
      <c r="AA31" s="1">
        <f>IF(Z31=TRUE,ROWS($Z$3:Z31),"")</f>
        <v>29</v>
      </c>
      <c r="AB31" s="1">
        <f>IFERROR(SMALL($AA$3:$AA$228,ROWS($AA$3:AA31)),"")</f>
        <v>29</v>
      </c>
      <c r="AC31" s="1" t="str">
        <f>IF(AB31&lt;&gt;"",INDEX($G$3:$I$228,MATCH($AB31,$AA$3:$AA$228,0),COLUMNS($AA$3:AA31)),"")</f>
        <v>Carrefour Garden City</v>
      </c>
      <c r="AD31" s="1">
        <f>IF(AC31&lt;&gt;"",INDEX($G$3:$I$228,MATCH($AB31,$AA$3:$AA$228,0),COLUMNS($AA$3:AB31)),"")</f>
        <v>275801.02</v>
      </c>
      <c r="AE31" s="1" t="str">
        <f>IF(AD31&lt;&gt;"",INDEX($G$3:$I$228,MATCH($AB31,$AA$3:$AA$228,0),COLUMNS($AA$3:AC31)),"")</f>
        <v>Nairobi</v>
      </c>
    </row>
    <row r="32" spans="1:31" x14ac:dyDescent="0.2">
      <c r="A32" s="2">
        <v>44746</v>
      </c>
      <c r="B32" s="1" t="s">
        <v>48</v>
      </c>
      <c r="C32" s="1" t="s">
        <v>3</v>
      </c>
      <c r="D32" s="1">
        <v>132597</v>
      </c>
      <c r="E32" s="3">
        <v>113833.63</v>
      </c>
      <c r="F32" s="1" t="s">
        <v>9</v>
      </c>
      <c r="G32" s="1" t="s">
        <v>33</v>
      </c>
      <c r="H32" s="3">
        <f>SUMIFS(Table1[Value],Table1[Outlets],G32)</f>
        <v>273587.67</v>
      </c>
      <c r="I32" s="1" t="str">
        <f>IFERROR(VLOOKUP(G32,Table1[[Outlets]:[Region]],2,0),"")</f>
        <v>Nairobi</v>
      </c>
      <c r="K32" s="1" t="b">
        <f t="shared" si="0"/>
        <v>1</v>
      </c>
      <c r="L32" s="1">
        <f>IF(K32=TRUE,ROWS($J$3:J32),"")</f>
        <v>30</v>
      </c>
      <c r="M32" s="1" t="str">
        <f>IFERROR(SMALL($L$3:$L$228,ROWS($L$3:L32)),"")</f>
        <v/>
      </c>
      <c r="N32" s="1" t="str">
        <f>IF(M32&lt;&gt;"",INDEX($G$3:$I$228,MATCH($M32,$L$3:$L$228,0),COLUMNS($L$3:L32)),"")</f>
        <v/>
      </c>
      <c r="O32" s="3" t="str">
        <f>IF(N32&lt;&gt;"",INDEX($G$3:$I$228,MATCH($M32,$L$3:$L$228,0),COLUMNS($L$3:M32)),"")</f>
        <v/>
      </c>
      <c r="P32" s="1" t="str">
        <f>IF(O32&lt;&gt;"",INDEX($G$3:$I$228,MATCH($M32,$L$3:$L$228,0),COLUMNS($L$3:N32)),"")</f>
        <v/>
      </c>
      <c r="S32" s="1" t="b">
        <f t="shared" si="1"/>
        <v>0</v>
      </c>
      <c r="T32" s="1" t="str">
        <f>IF(S32=TRUE,ROWS($S$3:S32),"")</f>
        <v/>
      </c>
      <c r="U32" s="1" t="str">
        <f>IFERROR(SMALL($T$3:$T$228,ROWS($T$3:T32)),"")</f>
        <v/>
      </c>
      <c r="V32" s="1" t="str">
        <f>IF(U32&lt;&gt;"",INDEX($G$3:$I$228,MATCH($U32,$T$3:$T$228,0),COLUMNS($U$3:U32)),"")</f>
        <v/>
      </c>
      <c r="W32" s="1" t="str">
        <f>IF(V32&lt;&gt;"",INDEX($G$3:$I$228,MATCH($U32,$T$3:$T$228,0),COLUMNS($U$3:V32)),"")</f>
        <v/>
      </c>
      <c r="X32" s="1" t="str">
        <f>IF(W32&lt;&gt;"",INDEX($G$3:$I$228,MATCH($U32,$T$3:$T$228,0),COLUMNS($U$3:W32)),"")</f>
        <v/>
      </c>
      <c r="Z32" s="1" t="b">
        <f t="shared" si="2"/>
        <v>1</v>
      </c>
      <c r="AA32" s="1">
        <f>IF(Z32=TRUE,ROWS($Z$3:Z32),"")</f>
        <v>30</v>
      </c>
      <c r="AB32" s="1">
        <f>IFERROR(SMALL($AA$3:$AA$228,ROWS($AA$3:AA32)),"")</f>
        <v>30</v>
      </c>
      <c r="AC32" s="1" t="str">
        <f>IF(AB32&lt;&gt;"",INDEX($G$3:$I$228,MATCH($AB32,$AA$3:$AA$228,0),COLUMNS($AA$3:AA32)),"")</f>
        <v>Chandarana Abc</v>
      </c>
      <c r="AD32" s="1">
        <f>IF(AC32&lt;&gt;"",INDEX($G$3:$I$228,MATCH($AB32,$AA$3:$AA$228,0),COLUMNS($AA$3:AB32)),"")</f>
        <v>273587.67</v>
      </c>
      <c r="AE32" s="1" t="str">
        <f>IF(AD32&lt;&gt;"",INDEX($G$3:$I$228,MATCH($AB32,$AA$3:$AA$228,0),COLUMNS($AA$3:AC32)),"")</f>
        <v>Nairobi</v>
      </c>
    </row>
    <row r="33" spans="1:31" x14ac:dyDescent="0.2">
      <c r="A33" s="2">
        <v>44746</v>
      </c>
      <c r="B33" s="1" t="s">
        <v>49</v>
      </c>
      <c r="C33" s="1" t="s">
        <v>249</v>
      </c>
      <c r="D33" s="1">
        <v>132600</v>
      </c>
      <c r="E33" s="3">
        <v>154115.60999999999</v>
      </c>
      <c r="F33" s="1" t="s">
        <v>11</v>
      </c>
      <c r="G33" s="1" t="s">
        <v>194</v>
      </c>
      <c r="H33" s="3">
        <f>SUMIFS(Table1[Value],Table1[Outlets],G33)</f>
        <v>270014.15000000002</v>
      </c>
      <c r="I33" s="1" t="str">
        <f>IFERROR(VLOOKUP(G33,Table1[[Outlets]:[Region]],2,0),"")</f>
        <v>Rift valley</v>
      </c>
      <c r="K33" s="1" t="b">
        <f t="shared" si="0"/>
        <v>1</v>
      </c>
      <c r="L33" s="1">
        <f>IF(K33=TRUE,ROWS($J$3:J33),"")</f>
        <v>31</v>
      </c>
      <c r="M33" s="1" t="str">
        <f>IFERROR(SMALL($L$3:$L$228,ROWS($L$3:L33)),"")</f>
        <v/>
      </c>
      <c r="N33" s="1" t="str">
        <f>IF(M33&lt;&gt;"",INDEX($G$3:$I$228,MATCH($M33,$L$3:$L$228,0),COLUMNS($L$3:L33)),"")</f>
        <v/>
      </c>
      <c r="O33" s="3" t="str">
        <f>IF(N33&lt;&gt;"",INDEX($G$3:$I$228,MATCH($M33,$L$3:$L$228,0),COLUMNS($L$3:M33)),"")</f>
        <v/>
      </c>
      <c r="P33" s="1" t="str">
        <f>IF(O33&lt;&gt;"",INDEX($G$3:$I$228,MATCH($M33,$L$3:$L$228,0),COLUMNS($L$3:N33)),"")</f>
        <v/>
      </c>
      <c r="S33" s="1" t="b">
        <f t="shared" si="1"/>
        <v>0</v>
      </c>
      <c r="T33" s="1" t="str">
        <f>IF(S33=TRUE,ROWS($S$3:S33),"")</f>
        <v/>
      </c>
      <c r="U33" s="1" t="str">
        <f>IFERROR(SMALL($T$3:$T$228,ROWS($T$3:T33)),"")</f>
        <v/>
      </c>
      <c r="V33" s="1" t="str">
        <f>IF(U33&lt;&gt;"",INDEX($G$3:$I$228,MATCH($U33,$T$3:$T$228,0),COLUMNS($U$3:U33)),"")</f>
        <v/>
      </c>
      <c r="W33" s="1" t="str">
        <f>IF(V33&lt;&gt;"",INDEX($G$3:$I$228,MATCH($U33,$T$3:$T$228,0),COLUMNS($U$3:V33)),"")</f>
        <v/>
      </c>
      <c r="X33" s="1" t="str">
        <f>IF(W33&lt;&gt;"",INDEX($G$3:$I$228,MATCH($U33,$T$3:$T$228,0),COLUMNS($U$3:W33)),"")</f>
        <v/>
      </c>
      <c r="Z33" s="1" t="b">
        <f t="shared" si="2"/>
        <v>1</v>
      </c>
      <c r="AA33" s="1">
        <f>IF(Z33=TRUE,ROWS($Z$3:Z33),"")</f>
        <v>31</v>
      </c>
      <c r="AB33" s="1">
        <f>IFERROR(SMALL($AA$3:$AA$228,ROWS($AA$3:AA33)),"")</f>
        <v>31</v>
      </c>
      <c r="AC33" s="1" t="str">
        <f>IF(AB33&lt;&gt;"",INDEX($G$3:$I$228,MATCH($AB33,$AA$3:$AA$228,0),COLUMNS($AA$3:AA33)),"")</f>
        <v>Chandarana Eld</v>
      </c>
      <c r="AD33" s="1">
        <f>IF(AC33&lt;&gt;"",INDEX($G$3:$I$228,MATCH($AB33,$AA$3:$AA$228,0),COLUMNS($AA$3:AB33)),"")</f>
        <v>270014.15000000002</v>
      </c>
      <c r="AE33" s="1" t="str">
        <f>IF(AD33&lt;&gt;"",INDEX($G$3:$I$228,MATCH($AB33,$AA$3:$AA$228,0),COLUMNS($AA$3:AC33)),"")</f>
        <v>Rift valley</v>
      </c>
    </row>
    <row r="34" spans="1:31" x14ac:dyDescent="0.2">
      <c r="A34" s="2">
        <v>44746</v>
      </c>
      <c r="B34" s="1" t="s">
        <v>50</v>
      </c>
      <c r="C34" s="1" t="s">
        <v>249</v>
      </c>
      <c r="D34" s="1">
        <v>132601</v>
      </c>
      <c r="E34" s="3">
        <v>75288.89</v>
      </c>
      <c r="F34" s="1" t="s">
        <v>11</v>
      </c>
      <c r="G34" s="1" t="s">
        <v>113</v>
      </c>
      <c r="H34" s="3">
        <f>SUMIFS(Table1[Value],Table1[Outlets],G34)</f>
        <v>249430.61</v>
      </c>
      <c r="I34" s="1" t="str">
        <f>IFERROR(VLOOKUP(G34,Table1[[Outlets]:[Region]],2,0),"")</f>
        <v>Nairobi</v>
      </c>
      <c r="K34" s="1" t="b">
        <f t="shared" si="0"/>
        <v>0</v>
      </c>
      <c r="L34" s="1" t="str">
        <f>IF(K34=TRUE,ROWS($J$3:J34),"")</f>
        <v/>
      </c>
      <c r="M34" s="1" t="str">
        <f>IFERROR(SMALL($L$3:$L$228,ROWS($L$3:L34)),"")</f>
        <v/>
      </c>
      <c r="N34" s="1" t="str">
        <f>IF(M34&lt;&gt;"",INDEX($G$3:$I$228,MATCH($M34,$L$3:$L$228,0),COLUMNS($L$3:L34)),"")</f>
        <v/>
      </c>
      <c r="O34" s="3" t="str">
        <f>IF(N34&lt;&gt;"",INDEX($G$3:$I$228,MATCH($M34,$L$3:$L$228,0),COLUMNS($L$3:M34)),"")</f>
        <v/>
      </c>
      <c r="P34" s="1" t="str">
        <f>IF(O34&lt;&gt;"",INDEX($G$3:$I$228,MATCH($M34,$L$3:$L$228,0),COLUMNS($L$3:N34)),"")</f>
        <v/>
      </c>
      <c r="S34" s="1" t="b">
        <f t="shared" si="1"/>
        <v>0</v>
      </c>
      <c r="T34" s="1" t="str">
        <f>IF(S34=TRUE,ROWS($S$3:S34),"")</f>
        <v/>
      </c>
      <c r="U34" s="1" t="str">
        <f>IFERROR(SMALL($T$3:$T$228,ROWS($T$3:T34)),"")</f>
        <v/>
      </c>
      <c r="V34" s="1" t="str">
        <f>IF(U34&lt;&gt;"",INDEX($G$3:$I$228,MATCH($U34,$T$3:$T$228,0),COLUMNS($U$3:U34)),"")</f>
        <v/>
      </c>
      <c r="W34" s="1" t="str">
        <f>IF(V34&lt;&gt;"",INDEX($G$3:$I$228,MATCH($U34,$T$3:$T$228,0),COLUMNS($U$3:V34)),"")</f>
        <v/>
      </c>
      <c r="X34" s="1" t="str">
        <f>IF(W34&lt;&gt;"",INDEX($G$3:$I$228,MATCH($U34,$T$3:$T$228,0),COLUMNS($U$3:W34)),"")</f>
        <v/>
      </c>
      <c r="Z34" s="1" t="b">
        <f t="shared" si="2"/>
        <v>1</v>
      </c>
      <c r="AA34" s="1">
        <f>IF(Z34=TRUE,ROWS($Z$3:Z34),"")</f>
        <v>32</v>
      </c>
      <c r="AB34" s="1">
        <f>IFERROR(SMALL($AA$3:$AA$228,ROWS($AA$3:AA34)),"")</f>
        <v>32</v>
      </c>
      <c r="AC34" s="1" t="str">
        <f>IF(AB34&lt;&gt;"",INDEX($G$3:$I$228,MATCH($AB34,$AA$3:$AA$228,0),COLUMNS($AA$3:AA34)),"")</f>
        <v>Quickmart Embakassi</v>
      </c>
      <c r="AD34" s="1">
        <f>IF(AC34&lt;&gt;"",INDEX($G$3:$I$228,MATCH($AB34,$AA$3:$AA$228,0),COLUMNS($AA$3:AB34)),"")</f>
        <v>249430.61</v>
      </c>
      <c r="AE34" s="1" t="str">
        <f>IF(AD34&lt;&gt;"",INDEX($G$3:$I$228,MATCH($AB34,$AA$3:$AA$228,0),COLUMNS($AA$3:AC34)),"")</f>
        <v>Nairobi</v>
      </c>
    </row>
    <row r="35" spans="1:31" x14ac:dyDescent="0.2">
      <c r="A35" s="2">
        <v>44746</v>
      </c>
      <c r="B35" s="1" t="s">
        <v>51</v>
      </c>
      <c r="C35" s="1" t="s">
        <v>249</v>
      </c>
      <c r="D35" s="1">
        <v>132602</v>
      </c>
      <c r="E35" s="3">
        <v>56702.99</v>
      </c>
      <c r="F35" s="1" t="s">
        <v>11</v>
      </c>
      <c r="G35" s="1" t="s">
        <v>72</v>
      </c>
      <c r="H35" s="3">
        <f>SUMIFS(Table1[Value],Table1[Outlets],G35)</f>
        <v>248674.41999999998</v>
      </c>
      <c r="I35" s="1" t="str">
        <f>IFERROR(VLOOKUP(G35,Table1[[Outlets]:[Region]],2,0),"")</f>
        <v>Nairobi</v>
      </c>
      <c r="K35" s="1" t="b">
        <f t="shared" si="0"/>
        <v>0</v>
      </c>
      <c r="L35" s="1" t="str">
        <f>IF(K35=TRUE,ROWS($J$3:J35),"")</f>
        <v/>
      </c>
      <c r="M35" s="1" t="str">
        <f>IFERROR(SMALL($L$3:$L$228,ROWS($L$3:L35)),"")</f>
        <v/>
      </c>
      <c r="N35" s="1" t="str">
        <f>IF(M35&lt;&gt;"",INDEX($G$3:$I$228,MATCH($M35,$L$3:$L$228,0),COLUMNS($L$3:L35)),"")</f>
        <v/>
      </c>
      <c r="O35" s="3" t="str">
        <f>IF(N35&lt;&gt;"",INDEX($G$3:$I$228,MATCH($M35,$L$3:$L$228,0),COLUMNS($L$3:M35)),"")</f>
        <v/>
      </c>
      <c r="P35" s="1" t="str">
        <f>IF(O35&lt;&gt;"",INDEX($G$3:$I$228,MATCH($M35,$L$3:$L$228,0),COLUMNS($L$3:N35)),"")</f>
        <v/>
      </c>
      <c r="S35" s="1" t="b">
        <f t="shared" si="1"/>
        <v>0</v>
      </c>
      <c r="T35" s="1" t="str">
        <f>IF(S35=TRUE,ROWS($S$3:S35),"")</f>
        <v/>
      </c>
      <c r="U35" s="1" t="str">
        <f>IFERROR(SMALL($T$3:$T$228,ROWS($T$3:T35)),"")</f>
        <v/>
      </c>
      <c r="V35" s="1" t="str">
        <f>IF(U35&lt;&gt;"",INDEX($G$3:$I$228,MATCH($U35,$T$3:$T$228,0),COLUMNS($U$3:U35)),"")</f>
        <v/>
      </c>
      <c r="W35" s="1" t="str">
        <f>IF(V35&lt;&gt;"",INDEX($G$3:$I$228,MATCH($U35,$T$3:$T$228,0),COLUMNS($U$3:V35)),"")</f>
        <v/>
      </c>
      <c r="X35" s="1" t="str">
        <f>IF(W35&lt;&gt;"",INDEX($G$3:$I$228,MATCH($U35,$T$3:$T$228,0),COLUMNS($U$3:W35)),"")</f>
        <v/>
      </c>
      <c r="Z35" s="1" t="b">
        <f t="shared" si="2"/>
        <v>1</v>
      </c>
      <c r="AA35" s="1">
        <f>IF(Z35=TRUE,ROWS($Z$3:Z35),"")</f>
        <v>33</v>
      </c>
      <c r="AB35" s="1">
        <f>IFERROR(SMALL($AA$3:$AA$228,ROWS($AA$3:AA35)),"")</f>
        <v>33</v>
      </c>
      <c r="AC35" s="1" t="str">
        <f>IF(AB35&lt;&gt;"",INDEX($G$3:$I$228,MATCH($AB35,$AA$3:$AA$228,0),COLUMNS($AA$3:AA35)),"")</f>
        <v>Carrefour Nextgen</v>
      </c>
      <c r="AD35" s="1">
        <f>IF(AC35&lt;&gt;"",INDEX($G$3:$I$228,MATCH($AB35,$AA$3:$AA$228,0),COLUMNS($AA$3:AB35)),"")</f>
        <v>248674.41999999998</v>
      </c>
      <c r="AE35" s="1" t="str">
        <f>IF(AD35&lt;&gt;"",INDEX($G$3:$I$228,MATCH($AB35,$AA$3:$AA$228,0),COLUMNS($AA$3:AC35)),"")</f>
        <v>Nairobi</v>
      </c>
    </row>
    <row r="36" spans="1:31" x14ac:dyDescent="0.2">
      <c r="A36" s="2">
        <v>44746</v>
      </c>
      <c r="B36" s="1" t="s">
        <v>52</v>
      </c>
      <c r="C36" s="1" t="s">
        <v>3</v>
      </c>
      <c r="D36" s="1">
        <v>132604</v>
      </c>
      <c r="E36" s="3">
        <v>23885.68</v>
      </c>
      <c r="F36" s="1" t="s">
        <v>11</v>
      </c>
      <c r="G36" s="1" t="s">
        <v>87</v>
      </c>
      <c r="H36" s="3">
        <f>SUMIFS(Table1[Value],Table1[Outlets],G36)</f>
        <v>243432.97</v>
      </c>
      <c r="I36" s="1" t="str">
        <f>IFERROR(VLOOKUP(G36,Table1[[Outlets]:[Region]],2,0),"")</f>
        <v>Nairobi</v>
      </c>
      <c r="K36" s="1" t="b">
        <f t="shared" si="0"/>
        <v>0</v>
      </c>
      <c r="L36" s="1" t="str">
        <f>IF(K36=TRUE,ROWS($J$3:J36),"")</f>
        <v/>
      </c>
      <c r="M36" s="1" t="str">
        <f>IFERROR(SMALL($L$3:$L$228,ROWS($L$3:L36)),"")</f>
        <v/>
      </c>
      <c r="N36" s="1" t="str">
        <f>IF(M36&lt;&gt;"",INDEX($G$3:$I$228,MATCH($M36,$L$3:$L$228,0),COLUMNS($L$3:L36)),"")</f>
        <v/>
      </c>
      <c r="O36" s="3" t="str">
        <f>IF(N36&lt;&gt;"",INDEX($G$3:$I$228,MATCH($M36,$L$3:$L$228,0),COLUMNS($L$3:M36)),"")</f>
        <v/>
      </c>
      <c r="P36" s="1" t="str">
        <f>IF(O36&lt;&gt;"",INDEX($G$3:$I$228,MATCH($M36,$L$3:$L$228,0),COLUMNS($L$3:N36)),"")</f>
        <v/>
      </c>
      <c r="S36" s="1" t="b">
        <f t="shared" si="1"/>
        <v>0</v>
      </c>
      <c r="T36" s="1" t="str">
        <f>IF(S36=TRUE,ROWS($S$3:S36),"")</f>
        <v/>
      </c>
      <c r="U36" s="1" t="str">
        <f>IFERROR(SMALL($T$3:$T$228,ROWS($T$3:T36)),"")</f>
        <v/>
      </c>
      <c r="V36" s="1" t="str">
        <f>IF(U36&lt;&gt;"",INDEX($G$3:$I$228,MATCH($U36,$T$3:$T$228,0),COLUMNS($U$3:U36)),"")</f>
        <v/>
      </c>
      <c r="W36" s="1" t="str">
        <f>IF(V36&lt;&gt;"",INDEX($G$3:$I$228,MATCH($U36,$T$3:$T$228,0),COLUMNS($U$3:V36)),"")</f>
        <v/>
      </c>
      <c r="X36" s="1" t="str">
        <f>IF(W36&lt;&gt;"",INDEX($G$3:$I$228,MATCH($U36,$T$3:$T$228,0),COLUMNS($U$3:W36)),"")</f>
        <v/>
      </c>
      <c r="Z36" s="1" t="b">
        <f t="shared" si="2"/>
        <v>1</v>
      </c>
      <c r="AA36" s="1">
        <f>IF(Z36=TRUE,ROWS($Z$3:Z36),"")</f>
        <v>34</v>
      </c>
      <c r="AB36" s="1">
        <f>IFERROR(SMALL($AA$3:$AA$228,ROWS($AA$3:AA36)),"")</f>
        <v>34</v>
      </c>
      <c r="AC36" s="1" t="str">
        <f>IF(AB36&lt;&gt;"",INDEX($G$3:$I$228,MATCH($AB36,$AA$3:$AA$228,0),COLUMNS($AA$3:AA36)),"")</f>
        <v>Onn The Way Parklands</v>
      </c>
      <c r="AD36" s="1">
        <f>IF(AC36&lt;&gt;"",INDEX($G$3:$I$228,MATCH($AB36,$AA$3:$AA$228,0),COLUMNS($AA$3:AB36)),"")</f>
        <v>243432.97</v>
      </c>
      <c r="AE36" s="1" t="str">
        <f>IF(AD36&lt;&gt;"",INDEX($G$3:$I$228,MATCH($AB36,$AA$3:$AA$228,0),COLUMNS($AA$3:AC36)),"")</f>
        <v>Nairobi</v>
      </c>
    </row>
    <row r="37" spans="1:31" x14ac:dyDescent="0.2">
      <c r="A37" s="2">
        <v>44746</v>
      </c>
      <c r="B37" s="1" t="s">
        <v>53</v>
      </c>
      <c r="C37" s="1" t="s">
        <v>3</v>
      </c>
      <c r="D37" s="1">
        <v>132605</v>
      </c>
      <c r="E37" s="3">
        <v>66540.75</v>
      </c>
      <c r="F37" s="1" t="s">
        <v>4</v>
      </c>
      <c r="G37" s="1" t="s">
        <v>231</v>
      </c>
      <c r="H37" s="3">
        <f>SUMIFS(Table1[Value],Table1[Outlets],G37)</f>
        <v>240840</v>
      </c>
      <c r="I37" s="1" t="str">
        <f>IFERROR(VLOOKUP(G37,Table1[[Outlets]:[Region]],2,0),"")</f>
        <v>Nairobi</v>
      </c>
      <c r="K37" s="1" t="b">
        <f t="shared" si="0"/>
        <v>0</v>
      </c>
      <c r="L37" s="1" t="str">
        <f>IF(K37=TRUE,ROWS($J$3:J37),"")</f>
        <v/>
      </c>
      <c r="M37" s="1" t="str">
        <f>IFERROR(SMALL($L$3:$L$228,ROWS($L$3:L37)),"")</f>
        <v/>
      </c>
      <c r="N37" s="1" t="str">
        <f>IF(M37&lt;&gt;"",INDEX($G$3:$I$228,MATCH($M37,$L$3:$L$228,0),COLUMNS($L$3:L37)),"")</f>
        <v/>
      </c>
      <c r="O37" s="3" t="str">
        <f>IF(N37&lt;&gt;"",INDEX($G$3:$I$228,MATCH($M37,$L$3:$L$228,0),COLUMNS($L$3:M37)),"")</f>
        <v/>
      </c>
      <c r="P37" s="1" t="str">
        <f>IF(O37&lt;&gt;"",INDEX($G$3:$I$228,MATCH($M37,$L$3:$L$228,0),COLUMNS($L$3:N37)),"")</f>
        <v/>
      </c>
      <c r="S37" s="1" t="b">
        <f t="shared" si="1"/>
        <v>0</v>
      </c>
      <c r="T37" s="1" t="str">
        <f>IF(S37=TRUE,ROWS($S$3:S37),"")</f>
        <v/>
      </c>
      <c r="U37" s="1" t="str">
        <f>IFERROR(SMALL($T$3:$T$228,ROWS($T$3:T37)),"")</f>
        <v/>
      </c>
      <c r="V37" s="1" t="str">
        <f>IF(U37&lt;&gt;"",INDEX($G$3:$I$228,MATCH($U37,$T$3:$T$228,0),COLUMNS($U$3:U37)),"")</f>
        <v/>
      </c>
      <c r="W37" s="1" t="str">
        <f>IF(V37&lt;&gt;"",INDEX($G$3:$I$228,MATCH($U37,$T$3:$T$228,0),COLUMNS($U$3:V37)),"")</f>
        <v/>
      </c>
      <c r="X37" s="1" t="str">
        <f>IF(W37&lt;&gt;"",INDEX($G$3:$I$228,MATCH($U37,$T$3:$T$228,0),COLUMNS($U$3:W37)),"")</f>
        <v/>
      </c>
      <c r="Z37" s="1" t="b">
        <f t="shared" si="2"/>
        <v>1</v>
      </c>
      <c r="AA37" s="1">
        <f>IF(Z37=TRUE,ROWS($Z$3:Z37),"")</f>
        <v>35</v>
      </c>
      <c r="AB37" s="1">
        <f>IFERROR(SMALL($AA$3:$AA$228,ROWS($AA$3:AA37)),"")</f>
        <v>35</v>
      </c>
      <c r="AC37" s="1" t="str">
        <f>IF(AB37&lt;&gt;"",INDEX($G$3:$I$228,MATCH($AB37,$AA$3:$AA$228,0),COLUMNS($AA$3:AA37)),"")</f>
        <v>Carrefour Karen Hub</v>
      </c>
      <c r="AD37" s="1">
        <f>IF(AC37&lt;&gt;"",INDEX($G$3:$I$228,MATCH($AB37,$AA$3:$AA$228,0),COLUMNS($AA$3:AB37)),"")</f>
        <v>240840</v>
      </c>
      <c r="AE37" s="1" t="str">
        <f>IF(AD37&lt;&gt;"",INDEX($G$3:$I$228,MATCH($AB37,$AA$3:$AA$228,0),COLUMNS($AA$3:AC37)),"")</f>
        <v>Nairobi</v>
      </c>
    </row>
    <row r="38" spans="1:31" x14ac:dyDescent="0.2">
      <c r="A38" s="2">
        <v>44746</v>
      </c>
      <c r="B38" s="1" t="s">
        <v>54</v>
      </c>
      <c r="C38" s="1" t="s">
        <v>249</v>
      </c>
      <c r="D38" s="1">
        <v>132606</v>
      </c>
      <c r="E38" s="3">
        <v>303875.78999999998</v>
      </c>
      <c r="F38" s="1" t="s">
        <v>256</v>
      </c>
      <c r="G38" s="1" t="s">
        <v>19</v>
      </c>
      <c r="H38" s="3">
        <f>SUMIFS(Table1[Value],Table1[Outlets],G38)</f>
        <v>224419.08000000002</v>
      </c>
      <c r="I38" s="1" t="str">
        <f>IFERROR(VLOOKUP(G38,Table1[[Outlets]:[Region]],2,0),"")</f>
        <v>Nairobi</v>
      </c>
      <c r="K38" s="1" t="b">
        <f t="shared" si="0"/>
        <v>1</v>
      </c>
      <c r="L38" s="1">
        <f>IF(K38=TRUE,ROWS($J$3:J38),"")</f>
        <v>36</v>
      </c>
      <c r="M38" s="1" t="str">
        <f>IFERROR(SMALL($L$3:$L$228,ROWS($L$3:L38)),"")</f>
        <v/>
      </c>
      <c r="N38" s="1" t="str">
        <f>IF(M38&lt;&gt;"",INDEX($G$3:$I$228,MATCH($M38,$L$3:$L$228,0),COLUMNS($L$3:L38)),"")</f>
        <v/>
      </c>
      <c r="O38" s="3" t="str">
        <f>IF(N38&lt;&gt;"",INDEX($G$3:$I$228,MATCH($M38,$L$3:$L$228,0),COLUMNS($L$3:M38)),"")</f>
        <v/>
      </c>
      <c r="P38" s="1" t="str">
        <f>IF(O38&lt;&gt;"",INDEX($G$3:$I$228,MATCH($M38,$L$3:$L$228,0),COLUMNS($L$3:N38)),"")</f>
        <v/>
      </c>
      <c r="S38" s="1" t="b">
        <f t="shared" si="1"/>
        <v>0</v>
      </c>
      <c r="T38" s="1" t="str">
        <f>IF(S38=TRUE,ROWS($S$3:S38),"")</f>
        <v/>
      </c>
      <c r="U38" s="1" t="str">
        <f>IFERROR(SMALL($T$3:$T$228,ROWS($T$3:T38)),"")</f>
        <v/>
      </c>
      <c r="V38" s="1" t="str">
        <f>IF(U38&lt;&gt;"",INDEX($G$3:$I$228,MATCH($U38,$T$3:$T$228,0),COLUMNS($U$3:U38)),"")</f>
        <v/>
      </c>
      <c r="W38" s="1" t="str">
        <f>IF(V38&lt;&gt;"",INDEX($G$3:$I$228,MATCH($U38,$T$3:$T$228,0),COLUMNS($U$3:V38)),"")</f>
        <v/>
      </c>
      <c r="X38" s="1" t="str">
        <f>IF(W38&lt;&gt;"",INDEX($G$3:$I$228,MATCH($U38,$T$3:$T$228,0),COLUMNS($U$3:W38)),"")</f>
        <v/>
      </c>
      <c r="Z38" s="1" t="b">
        <f t="shared" si="2"/>
        <v>1</v>
      </c>
      <c r="AA38" s="1">
        <f>IF(Z38=TRUE,ROWS($Z$3:Z38),"")</f>
        <v>36</v>
      </c>
      <c r="AB38" s="1">
        <f>IFERROR(SMALL($AA$3:$AA$228,ROWS($AA$3:AA38)),"")</f>
        <v>36</v>
      </c>
      <c r="AC38" s="1" t="str">
        <f>IF(AB38&lt;&gt;"",INDEX($G$3:$I$228,MATCH($AB38,$AA$3:$AA$228,0),COLUMNS($AA$3:AA38)),"")</f>
        <v>Chandarana Mobil</v>
      </c>
      <c r="AD38" s="1">
        <f>IF(AC38&lt;&gt;"",INDEX($G$3:$I$228,MATCH($AB38,$AA$3:$AA$228,0),COLUMNS($AA$3:AB38)),"")</f>
        <v>224419.08000000002</v>
      </c>
      <c r="AE38" s="1" t="str">
        <f>IF(AD38&lt;&gt;"",INDEX($G$3:$I$228,MATCH($AB38,$AA$3:$AA$228,0),COLUMNS($AA$3:AC38)),"")</f>
        <v>Nairobi</v>
      </c>
    </row>
    <row r="39" spans="1:31" x14ac:dyDescent="0.2">
      <c r="A39" s="2">
        <v>44746</v>
      </c>
      <c r="B39" s="1" t="s">
        <v>55</v>
      </c>
      <c r="C39" s="1" t="s">
        <v>3</v>
      </c>
      <c r="D39" s="1">
        <v>132607</v>
      </c>
      <c r="E39" s="3">
        <v>76731.64</v>
      </c>
      <c r="F39" s="1" t="s">
        <v>9</v>
      </c>
      <c r="G39" s="1" t="s">
        <v>55</v>
      </c>
      <c r="H39" s="3">
        <f>SUMIFS(Table1[Value],Table1[Outlets],G39)</f>
        <v>218511.12999999998</v>
      </c>
      <c r="I39" s="1" t="str">
        <f>IFERROR(VLOOKUP(G39,Table1[[Outlets]:[Region]],2,0),"")</f>
        <v>Nairobi</v>
      </c>
      <c r="K39" s="1" t="b">
        <f t="shared" si="0"/>
        <v>0</v>
      </c>
      <c r="L39" s="1" t="str">
        <f>IF(K39=TRUE,ROWS($J$3:J39),"")</f>
        <v/>
      </c>
      <c r="M39" s="1" t="str">
        <f>IFERROR(SMALL($L$3:$L$228,ROWS($L$3:L39)),"")</f>
        <v/>
      </c>
      <c r="N39" s="1" t="str">
        <f>IF(M39&lt;&gt;"",INDEX($G$3:$I$228,MATCH($M39,$L$3:$L$228,0),COLUMNS($L$3:L39)),"")</f>
        <v/>
      </c>
      <c r="O39" s="3" t="str">
        <f>IF(N39&lt;&gt;"",INDEX($G$3:$I$228,MATCH($M39,$L$3:$L$228,0),COLUMNS($L$3:M39)),"")</f>
        <v/>
      </c>
      <c r="P39" s="1" t="str">
        <f>IF(O39&lt;&gt;"",INDEX($G$3:$I$228,MATCH($M39,$L$3:$L$228,0),COLUMNS($L$3:N39)),"")</f>
        <v/>
      </c>
      <c r="S39" s="1" t="b">
        <f t="shared" si="1"/>
        <v>0</v>
      </c>
      <c r="T39" s="1" t="str">
        <f>IF(S39=TRUE,ROWS($S$3:S39),"")</f>
        <v/>
      </c>
      <c r="U39" s="1" t="str">
        <f>IFERROR(SMALL($T$3:$T$228,ROWS($T$3:T39)),"")</f>
        <v/>
      </c>
      <c r="V39" s="1" t="str">
        <f>IF(U39&lt;&gt;"",INDEX($G$3:$I$228,MATCH($U39,$T$3:$T$228,0),COLUMNS($U$3:U39)),"")</f>
        <v/>
      </c>
      <c r="W39" s="1" t="str">
        <f>IF(V39&lt;&gt;"",INDEX($G$3:$I$228,MATCH($U39,$T$3:$T$228,0),COLUMNS($U$3:V39)),"")</f>
        <v/>
      </c>
      <c r="X39" s="1" t="str">
        <f>IF(W39&lt;&gt;"",INDEX($G$3:$I$228,MATCH($U39,$T$3:$T$228,0),COLUMNS($U$3:W39)),"")</f>
        <v/>
      </c>
      <c r="Z39" s="1" t="b">
        <f t="shared" si="2"/>
        <v>1</v>
      </c>
      <c r="AA39" s="1">
        <f>IF(Z39=TRUE,ROWS($Z$3:Z39),"")</f>
        <v>37</v>
      </c>
      <c r="AB39" s="1">
        <f>IFERROR(SMALL($AA$3:$AA$228,ROWS($AA$3:AA39)),"")</f>
        <v>37</v>
      </c>
      <c r="AC39" s="1" t="str">
        <f>IF(AB39&lt;&gt;"",INDEX($G$3:$I$228,MATCH($AB39,$AA$3:$AA$228,0),COLUMNS($AA$3:AA39)),"")</f>
        <v>Quickmart Jipange</v>
      </c>
      <c r="AD39" s="1">
        <f>IF(AC39&lt;&gt;"",INDEX($G$3:$I$228,MATCH($AB39,$AA$3:$AA$228,0),COLUMNS($AA$3:AB39)),"")</f>
        <v>218511.12999999998</v>
      </c>
      <c r="AE39" s="1" t="str">
        <f>IF(AD39&lt;&gt;"",INDEX($G$3:$I$228,MATCH($AB39,$AA$3:$AA$228,0),COLUMNS($AA$3:AC39)),"")</f>
        <v>Nairobi</v>
      </c>
    </row>
    <row r="40" spans="1:31" x14ac:dyDescent="0.2">
      <c r="A40" s="2">
        <v>44746</v>
      </c>
      <c r="B40" s="1" t="s">
        <v>56</v>
      </c>
      <c r="C40" s="1" t="s">
        <v>3</v>
      </c>
      <c r="D40" s="1">
        <v>132608</v>
      </c>
      <c r="E40" s="3">
        <v>93066.03</v>
      </c>
      <c r="F40" s="1" t="s">
        <v>9</v>
      </c>
      <c r="G40" s="1" t="s">
        <v>56</v>
      </c>
      <c r="H40" s="3">
        <f>SUMIFS(Table1[Value],Table1[Outlets],G40)</f>
        <v>214890.77999999997</v>
      </c>
      <c r="I40" s="1" t="str">
        <f>IFERROR(VLOOKUP(G40,Table1[[Outlets]:[Region]],2,0),"")</f>
        <v>Nairobi</v>
      </c>
      <c r="K40" s="1" t="b">
        <f t="shared" si="0"/>
        <v>0</v>
      </c>
      <c r="L40" s="1" t="str">
        <f>IF(K40=TRUE,ROWS($J$3:J40),"")</f>
        <v/>
      </c>
      <c r="M40" s="1" t="str">
        <f>IFERROR(SMALL($L$3:$L$228,ROWS($L$3:L40)),"")</f>
        <v/>
      </c>
      <c r="N40" s="1" t="str">
        <f>IF(M40&lt;&gt;"",INDEX($G$3:$I$228,MATCH($M40,$L$3:$L$228,0),COLUMNS($L$3:L40)),"")</f>
        <v/>
      </c>
      <c r="O40" s="3" t="str">
        <f>IF(N40&lt;&gt;"",INDEX($G$3:$I$228,MATCH($M40,$L$3:$L$228,0),COLUMNS($L$3:M40)),"")</f>
        <v/>
      </c>
      <c r="P40" s="1" t="str">
        <f>IF(O40&lt;&gt;"",INDEX($G$3:$I$228,MATCH($M40,$L$3:$L$228,0),COLUMNS($L$3:N40)),"")</f>
        <v/>
      </c>
      <c r="S40" s="1" t="b">
        <f t="shared" si="1"/>
        <v>0</v>
      </c>
      <c r="T40" s="1" t="str">
        <f>IF(S40=TRUE,ROWS($S$3:S40),"")</f>
        <v/>
      </c>
      <c r="U40" s="1" t="str">
        <f>IFERROR(SMALL($T$3:$T$228,ROWS($T$3:T40)),"")</f>
        <v/>
      </c>
      <c r="V40" s="1" t="str">
        <f>IF(U40&lt;&gt;"",INDEX($G$3:$I$228,MATCH($U40,$T$3:$T$228,0),COLUMNS($U$3:U40)),"")</f>
        <v/>
      </c>
      <c r="W40" s="1" t="str">
        <f>IF(V40&lt;&gt;"",INDEX($G$3:$I$228,MATCH($U40,$T$3:$T$228,0),COLUMNS($U$3:V40)),"")</f>
        <v/>
      </c>
      <c r="X40" s="1" t="str">
        <f>IF(W40&lt;&gt;"",INDEX($G$3:$I$228,MATCH($U40,$T$3:$T$228,0),COLUMNS($U$3:W40)),"")</f>
        <v/>
      </c>
      <c r="Z40" s="1" t="b">
        <f t="shared" si="2"/>
        <v>1</v>
      </c>
      <c r="AA40" s="1">
        <f>IF(Z40=TRUE,ROWS($Z$3:Z40),"")</f>
        <v>38</v>
      </c>
      <c r="AB40" s="1">
        <f>IFERROR(SMALL($AA$3:$AA$228,ROWS($AA$3:AA40)),"")</f>
        <v>38</v>
      </c>
      <c r="AC40" s="1" t="str">
        <f>IF(AB40&lt;&gt;"",INDEX($G$3:$I$228,MATCH($AB40,$AA$3:$AA$228,0),COLUMNS($AA$3:AA40)),"")</f>
        <v>Quickmart Westlands</v>
      </c>
      <c r="AD40" s="1">
        <f>IF(AC40&lt;&gt;"",INDEX($G$3:$I$228,MATCH($AB40,$AA$3:$AA$228,0),COLUMNS($AA$3:AB40)),"")</f>
        <v>214890.77999999997</v>
      </c>
      <c r="AE40" s="1" t="str">
        <f>IF(AD40&lt;&gt;"",INDEX($G$3:$I$228,MATCH($AB40,$AA$3:$AA$228,0),COLUMNS($AA$3:AC40)),"")</f>
        <v>Nairobi</v>
      </c>
    </row>
    <row r="41" spans="1:31" x14ac:dyDescent="0.2">
      <c r="A41" s="2">
        <v>44746</v>
      </c>
      <c r="B41" s="1" t="s">
        <v>57</v>
      </c>
      <c r="C41" s="1" t="s">
        <v>249</v>
      </c>
      <c r="D41" s="1">
        <v>132610</v>
      </c>
      <c r="E41" s="3">
        <v>31516.89</v>
      </c>
      <c r="F41" s="1" t="s">
        <v>9</v>
      </c>
      <c r="G41" s="1" t="s">
        <v>20</v>
      </c>
      <c r="H41" s="3">
        <f>SUMIFS(Table1[Value],Table1[Outlets],G41)</f>
        <v>209890.58</v>
      </c>
      <c r="I41" s="1" t="str">
        <f>IFERROR(VLOOKUP(G41,Table1[[Outlets]:[Region]],2,0),"")</f>
        <v>Nairobi</v>
      </c>
      <c r="K41" s="1" t="b">
        <f t="shared" si="0"/>
        <v>1</v>
      </c>
      <c r="L41" s="1">
        <f>IF(K41=TRUE,ROWS($J$3:J41),"")</f>
        <v>39</v>
      </c>
      <c r="M41" s="1" t="str">
        <f>IFERROR(SMALL($L$3:$L$228,ROWS($L$3:L41)),"")</f>
        <v/>
      </c>
      <c r="N41" s="1" t="str">
        <f>IF(M41&lt;&gt;"",INDEX($G$3:$I$228,MATCH($M41,$L$3:$L$228,0),COLUMNS($L$3:L41)),"")</f>
        <v/>
      </c>
      <c r="O41" s="3" t="str">
        <f>IF(N41&lt;&gt;"",INDEX($G$3:$I$228,MATCH($M41,$L$3:$L$228,0),COLUMNS($L$3:M41)),"")</f>
        <v/>
      </c>
      <c r="P41" s="1" t="str">
        <f>IF(O41&lt;&gt;"",INDEX($G$3:$I$228,MATCH($M41,$L$3:$L$228,0),COLUMNS($L$3:N41)),"")</f>
        <v/>
      </c>
      <c r="S41" s="1" t="b">
        <f t="shared" si="1"/>
        <v>0</v>
      </c>
      <c r="T41" s="1" t="str">
        <f>IF(S41=TRUE,ROWS($S$3:S41),"")</f>
        <v/>
      </c>
      <c r="U41" s="1" t="str">
        <f>IFERROR(SMALL($T$3:$T$228,ROWS($T$3:T41)),"")</f>
        <v/>
      </c>
      <c r="V41" s="1" t="str">
        <f>IF(U41&lt;&gt;"",INDEX($G$3:$I$228,MATCH($U41,$T$3:$T$228,0),COLUMNS($U$3:U41)),"")</f>
        <v/>
      </c>
      <c r="W41" s="1" t="str">
        <f>IF(V41&lt;&gt;"",INDEX($G$3:$I$228,MATCH($U41,$T$3:$T$228,0),COLUMNS($U$3:V41)),"")</f>
        <v/>
      </c>
      <c r="X41" s="1" t="str">
        <f>IF(W41&lt;&gt;"",INDEX($G$3:$I$228,MATCH($U41,$T$3:$T$228,0),COLUMNS($U$3:W41)),"")</f>
        <v/>
      </c>
      <c r="Z41" s="1" t="b">
        <f t="shared" si="2"/>
        <v>1</v>
      </c>
      <c r="AA41" s="1">
        <f>IF(Z41=TRUE,ROWS($Z$3:Z41),"")</f>
        <v>39</v>
      </c>
      <c r="AB41" s="1">
        <f>IFERROR(SMALL($AA$3:$AA$228,ROWS($AA$3:AA41)),"")</f>
        <v>39</v>
      </c>
      <c r="AC41" s="1" t="str">
        <f>IF(AB41&lt;&gt;"",INDEX($G$3:$I$228,MATCH($AB41,$AA$3:$AA$228,0),COLUMNS($AA$3:AA41)),"")</f>
        <v>Chandarana Signature</v>
      </c>
      <c r="AD41" s="1">
        <f>IF(AC41&lt;&gt;"",INDEX($G$3:$I$228,MATCH($AB41,$AA$3:$AA$228,0),COLUMNS($AA$3:AB41)),"")</f>
        <v>209890.58</v>
      </c>
      <c r="AE41" s="1" t="str">
        <f>IF(AD41&lt;&gt;"",INDEX($G$3:$I$228,MATCH($AB41,$AA$3:$AA$228,0),COLUMNS($AA$3:AC41)),"")</f>
        <v>Nairobi</v>
      </c>
    </row>
    <row r="42" spans="1:31" x14ac:dyDescent="0.2">
      <c r="A42" s="2">
        <v>44746</v>
      </c>
      <c r="B42" s="1" t="s">
        <v>58</v>
      </c>
      <c r="C42" s="1" t="s">
        <v>249</v>
      </c>
      <c r="D42" s="1">
        <v>132611</v>
      </c>
      <c r="E42" s="3">
        <v>27128.62</v>
      </c>
      <c r="F42" s="1" t="s">
        <v>9</v>
      </c>
      <c r="G42" s="1" t="s">
        <v>82</v>
      </c>
      <c r="H42" s="3">
        <f>SUMIFS(Table1[Value],Table1[Outlets],G42)</f>
        <v>198410.38999999998</v>
      </c>
      <c r="I42" s="1" t="str">
        <f>IFERROR(VLOOKUP(G42,Table1[[Outlets]:[Region]],2,0),"")</f>
        <v>Coast</v>
      </c>
      <c r="K42" s="1" t="b">
        <f t="shared" si="0"/>
        <v>0</v>
      </c>
      <c r="L42" s="1" t="str">
        <f>IF(K42=TRUE,ROWS($J$3:J42),"")</f>
        <v/>
      </c>
      <c r="M42" s="1" t="str">
        <f>IFERROR(SMALL($L$3:$L$228,ROWS($L$3:L42)),"")</f>
        <v/>
      </c>
      <c r="N42" s="1" t="str">
        <f>IF(M42&lt;&gt;"",INDEX($G$3:$I$228,MATCH($M42,$L$3:$L$228,0),COLUMNS($L$3:L42)),"")</f>
        <v/>
      </c>
      <c r="O42" s="3" t="str">
        <f>IF(N42&lt;&gt;"",INDEX($G$3:$I$228,MATCH($M42,$L$3:$L$228,0),COLUMNS($L$3:M42)),"")</f>
        <v/>
      </c>
      <c r="P42" s="1" t="str">
        <f>IF(O42&lt;&gt;"",INDEX($G$3:$I$228,MATCH($M42,$L$3:$L$228,0),COLUMNS($L$3:N42)),"")</f>
        <v/>
      </c>
      <c r="S42" s="1" t="b">
        <f t="shared" si="1"/>
        <v>0</v>
      </c>
      <c r="T42" s="1" t="str">
        <f>IF(S42=TRUE,ROWS($S$3:S42),"")</f>
        <v/>
      </c>
      <c r="U42" s="1" t="str">
        <f>IFERROR(SMALL($T$3:$T$228,ROWS($T$3:T42)),"")</f>
        <v/>
      </c>
      <c r="V42" s="1" t="str">
        <f>IF(U42&lt;&gt;"",INDEX($G$3:$I$228,MATCH($U42,$T$3:$T$228,0),COLUMNS($U$3:U42)),"")</f>
        <v/>
      </c>
      <c r="W42" s="1" t="str">
        <f>IF(V42&lt;&gt;"",INDEX($G$3:$I$228,MATCH($U42,$T$3:$T$228,0),COLUMNS($U$3:V42)),"")</f>
        <v/>
      </c>
      <c r="X42" s="1" t="str">
        <f>IF(W42&lt;&gt;"",INDEX($G$3:$I$228,MATCH($U42,$T$3:$T$228,0),COLUMNS($U$3:W42)),"")</f>
        <v/>
      </c>
      <c r="Z42" s="1" t="b">
        <f t="shared" si="2"/>
        <v>1</v>
      </c>
      <c r="AA42" s="1">
        <f>IF(Z42=TRUE,ROWS($Z$3:Z42),"")</f>
        <v>40</v>
      </c>
      <c r="AB42" s="1">
        <f>IFERROR(SMALL($AA$3:$AA$228,ROWS($AA$3:AA42)),"")</f>
        <v>40</v>
      </c>
      <c r="AC42" s="1" t="str">
        <f>IF(AB42&lt;&gt;"",INDEX($G$3:$I$228,MATCH($AB42,$AA$3:$AA$228,0),COLUMNS($AA$3:AA42)),"")</f>
        <v>Naivas Ukunda</v>
      </c>
      <c r="AD42" s="1">
        <f>IF(AC42&lt;&gt;"",INDEX($G$3:$I$228,MATCH($AB42,$AA$3:$AA$228,0),COLUMNS($AA$3:AB42)),"")</f>
        <v>198410.38999999998</v>
      </c>
      <c r="AE42" s="1" t="str">
        <f>IF(AD42&lt;&gt;"",INDEX($G$3:$I$228,MATCH($AB42,$AA$3:$AA$228,0),COLUMNS($AA$3:AC42)),"")</f>
        <v>Coast</v>
      </c>
    </row>
    <row r="43" spans="1:31" x14ac:dyDescent="0.2">
      <c r="A43" s="2">
        <v>44746</v>
      </c>
      <c r="B43" s="1" t="s">
        <v>59</v>
      </c>
      <c r="C43" s="1" t="s">
        <v>249</v>
      </c>
      <c r="D43" s="1">
        <v>132612</v>
      </c>
      <c r="E43" s="3">
        <v>205161.64</v>
      </c>
      <c r="F43" s="1" t="s">
        <v>4</v>
      </c>
      <c r="G43" s="1" t="s">
        <v>90</v>
      </c>
      <c r="H43" s="3">
        <f>SUMIFS(Table1[Value],Table1[Outlets],G43)</f>
        <v>196898.61000000002</v>
      </c>
      <c r="I43" s="1" t="str">
        <f>IFERROR(VLOOKUP(G43,Table1[[Outlets]:[Region]],2,0),"")</f>
        <v>Rift valley</v>
      </c>
      <c r="K43" s="1" t="b">
        <f t="shared" si="0"/>
        <v>0</v>
      </c>
      <c r="L43" s="1" t="str">
        <f>IF(K43=TRUE,ROWS($J$3:J43),"")</f>
        <v/>
      </c>
      <c r="M43" s="1" t="str">
        <f>IFERROR(SMALL($L$3:$L$228,ROWS($L$3:L43)),"")</f>
        <v/>
      </c>
      <c r="N43" s="1" t="str">
        <f>IF(M43&lt;&gt;"",INDEX($G$3:$I$228,MATCH($M43,$L$3:$L$228,0),COLUMNS($L$3:L43)),"")</f>
        <v/>
      </c>
      <c r="O43" s="3" t="str">
        <f>IF(N43&lt;&gt;"",INDEX($G$3:$I$228,MATCH($M43,$L$3:$L$228,0),COLUMNS($L$3:M43)),"")</f>
        <v/>
      </c>
      <c r="P43" s="1" t="str">
        <f>IF(O43&lt;&gt;"",INDEX($G$3:$I$228,MATCH($M43,$L$3:$L$228,0),COLUMNS($L$3:N43)),"")</f>
        <v/>
      </c>
      <c r="S43" s="1" t="b">
        <f t="shared" si="1"/>
        <v>0</v>
      </c>
      <c r="T43" s="1" t="str">
        <f>IF(S43=TRUE,ROWS($S$3:S43),"")</f>
        <v/>
      </c>
      <c r="U43" s="1" t="str">
        <f>IFERROR(SMALL($T$3:$T$228,ROWS($T$3:T43)),"")</f>
        <v/>
      </c>
      <c r="V43" s="1" t="str">
        <f>IF(U43&lt;&gt;"",INDEX($G$3:$I$228,MATCH($U43,$T$3:$T$228,0),COLUMNS($U$3:U43)),"")</f>
        <v/>
      </c>
      <c r="W43" s="1" t="str">
        <f>IF(V43&lt;&gt;"",INDEX($G$3:$I$228,MATCH($U43,$T$3:$T$228,0),COLUMNS($U$3:V43)),"")</f>
        <v/>
      </c>
      <c r="X43" s="1" t="str">
        <f>IF(W43&lt;&gt;"",INDEX($G$3:$I$228,MATCH($U43,$T$3:$T$228,0),COLUMNS($U$3:W43)),"")</f>
        <v/>
      </c>
      <c r="Z43" s="1" t="b">
        <f t="shared" si="2"/>
        <v>1</v>
      </c>
      <c r="AA43" s="1">
        <f>IF(Z43=TRUE,ROWS($Z$3:Z43),"")</f>
        <v>41</v>
      </c>
      <c r="AB43" s="1">
        <f>IFERROR(SMALL($AA$3:$AA$228,ROWS($AA$3:AA43)),"")</f>
        <v>41</v>
      </c>
      <c r="AC43" s="1" t="str">
        <f>IF(AB43&lt;&gt;"",INDEX($G$3:$I$228,MATCH($AB43,$AA$3:$AA$228,0),COLUMNS($AA$3:AA43)),"")</f>
        <v>Quickmart Eld</v>
      </c>
      <c r="AD43" s="1">
        <f>IF(AC43&lt;&gt;"",INDEX($G$3:$I$228,MATCH($AB43,$AA$3:$AA$228,0),COLUMNS($AA$3:AB43)),"")</f>
        <v>196898.61000000002</v>
      </c>
      <c r="AE43" s="1" t="str">
        <f>IF(AD43&lt;&gt;"",INDEX($G$3:$I$228,MATCH($AB43,$AA$3:$AA$228,0),COLUMNS($AA$3:AC43)),"")</f>
        <v>Rift valley</v>
      </c>
    </row>
    <row r="44" spans="1:31" x14ac:dyDescent="0.2">
      <c r="A44" s="2">
        <v>44746</v>
      </c>
      <c r="B44" s="1" t="s">
        <v>60</v>
      </c>
      <c r="C44" s="1" t="s">
        <v>3</v>
      </c>
      <c r="D44" s="1">
        <v>132618</v>
      </c>
      <c r="E44" s="3">
        <v>44191.19</v>
      </c>
      <c r="F44" s="1" t="s">
        <v>4</v>
      </c>
      <c r="G44" s="1" t="s">
        <v>36</v>
      </c>
      <c r="H44" s="3">
        <f>SUMIFS(Table1[Value],Table1[Outlets],G44)</f>
        <v>190291.43</v>
      </c>
      <c r="I44" s="1" t="str">
        <f>IFERROR(VLOOKUP(G44,Table1[[Outlets]:[Region]],2,0),"")</f>
        <v>Nairobi</v>
      </c>
      <c r="K44" s="1" t="b">
        <f t="shared" si="0"/>
        <v>1</v>
      </c>
      <c r="L44" s="1">
        <f>IF(K44=TRUE,ROWS($J$3:J44),"")</f>
        <v>42</v>
      </c>
      <c r="M44" s="1" t="str">
        <f>IFERROR(SMALL($L$3:$L$228,ROWS($L$3:L44)),"")</f>
        <v/>
      </c>
      <c r="N44" s="1" t="str">
        <f>IF(M44&lt;&gt;"",INDEX($G$3:$I$228,MATCH($M44,$L$3:$L$228,0),COLUMNS($L$3:L44)),"")</f>
        <v/>
      </c>
      <c r="O44" s="3" t="str">
        <f>IF(N44&lt;&gt;"",INDEX($G$3:$I$228,MATCH($M44,$L$3:$L$228,0),COLUMNS($L$3:M44)),"")</f>
        <v/>
      </c>
      <c r="P44" s="1" t="str">
        <f>IF(O44&lt;&gt;"",INDEX($G$3:$I$228,MATCH($M44,$L$3:$L$228,0),COLUMNS($L$3:N44)),"")</f>
        <v/>
      </c>
      <c r="S44" s="1" t="b">
        <f t="shared" si="1"/>
        <v>0</v>
      </c>
      <c r="T44" s="1" t="str">
        <f>IF(S44=TRUE,ROWS($S$3:S44),"")</f>
        <v/>
      </c>
      <c r="U44" s="1" t="str">
        <f>IFERROR(SMALL($T$3:$T$228,ROWS($T$3:T44)),"")</f>
        <v/>
      </c>
      <c r="V44" s="1" t="str">
        <f>IF(U44&lt;&gt;"",INDEX($G$3:$I$228,MATCH($U44,$T$3:$T$228,0),COLUMNS($U$3:U44)),"")</f>
        <v/>
      </c>
      <c r="W44" s="1" t="str">
        <f>IF(V44&lt;&gt;"",INDEX($G$3:$I$228,MATCH($U44,$T$3:$T$228,0),COLUMNS($U$3:V44)),"")</f>
        <v/>
      </c>
      <c r="X44" s="1" t="str">
        <f>IF(W44&lt;&gt;"",INDEX($G$3:$I$228,MATCH($U44,$T$3:$T$228,0),COLUMNS($U$3:W44)),"")</f>
        <v/>
      </c>
      <c r="Z44" s="1" t="b">
        <f t="shared" si="2"/>
        <v>1</v>
      </c>
      <c r="AA44" s="1">
        <f>IF(Z44=TRUE,ROWS($Z$3:Z44),"")</f>
        <v>42</v>
      </c>
      <c r="AB44" s="1">
        <f>IFERROR(SMALL($AA$3:$AA$228,ROWS($AA$3:AA44)),"")</f>
        <v>42</v>
      </c>
      <c r="AC44" s="1" t="str">
        <f>IF(AB44&lt;&gt;"",INDEX($G$3:$I$228,MATCH($AB44,$AA$3:$AA$228,0),COLUMNS($AA$3:AA44)),"")</f>
        <v>Chandarana Ngara</v>
      </c>
      <c r="AD44" s="1">
        <f>IF(AC44&lt;&gt;"",INDEX($G$3:$I$228,MATCH($AB44,$AA$3:$AA$228,0),COLUMNS($AA$3:AB44)),"")</f>
        <v>190291.43</v>
      </c>
      <c r="AE44" s="1" t="str">
        <f>IF(AD44&lt;&gt;"",INDEX($G$3:$I$228,MATCH($AB44,$AA$3:$AA$228,0),COLUMNS($AA$3:AC44)),"")</f>
        <v>Nairobi</v>
      </c>
    </row>
    <row r="45" spans="1:31" x14ac:dyDescent="0.2">
      <c r="A45" s="2">
        <v>44746</v>
      </c>
      <c r="B45" s="1" t="s">
        <v>61</v>
      </c>
      <c r="C45" s="1" t="s">
        <v>251</v>
      </c>
      <c r="D45" s="1">
        <v>132619</v>
      </c>
      <c r="E45" s="3">
        <v>74341.67</v>
      </c>
      <c r="F45" s="1" t="s">
        <v>11</v>
      </c>
      <c r="G45" s="1" t="s">
        <v>44</v>
      </c>
      <c r="H45" s="3">
        <f>SUMIFS(Table1[Value],Table1[Outlets],G45)</f>
        <v>189524.91</v>
      </c>
      <c r="I45" s="1" t="str">
        <f>IFERROR(VLOOKUP(G45,Table1[[Outlets]:[Region]],2,0),"")</f>
        <v>Nairobi</v>
      </c>
      <c r="K45" s="1" t="b">
        <f t="shared" si="0"/>
        <v>0</v>
      </c>
      <c r="L45" s="1" t="str">
        <f>IF(K45=TRUE,ROWS($J$3:J45),"")</f>
        <v/>
      </c>
      <c r="M45" s="1" t="str">
        <f>IFERROR(SMALL($L$3:$L$228,ROWS($L$3:L45)),"")</f>
        <v/>
      </c>
      <c r="N45" s="1" t="str">
        <f>IF(M45&lt;&gt;"",INDEX($G$3:$I$228,MATCH($M45,$L$3:$L$228,0),COLUMNS($L$3:L45)),"")</f>
        <v/>
      </c>
      <c r="O45" s="3" t="str">
        <f>IF(N45&lt;&gt;"",INDEX($G$3:$I$228,MATCH($M45,$L$3:$L$228,0),COLUMNS($L$3:M45)),"")</f>
        <v/>
      </c>
      <c r="P45" s="1" t="str">
        <f>IF(O45&lt;&gt;"",INDEX($G$3:$I$228,MATCH($M45,$L$3:$L$228,0),COLUMNS($L$3:N45)),"")</f>
        <v/>
      </c>
      <c r="S45" s="1" t="b">
        <f t="shared" si="1"/>
        <v>0</v>
      </c>
      <c r="T45" s="1" t="str">
        <f>IF(S45=TRUE,ROWS($S$3:S45),"")</f>
        <v/>
      </c>
      <c r="U45" s="1" t="str">
        <f>IFERROR(SMALL($T$3:$T$228,ROWS($T$3:T45)),"")</f>
        <v/>
      </c>
      <c r="V45" s="1" t="str">
        <f>IF(U45&lt;&gt;"",INDEX($G$3:$I$228,MATCH($U45,$T$3:$T$228,0),COLUMNS($U$3:U45)),"")</f>
        <v/>
      </c>
      <c r="W45" s="1" t="str">
        <f>IF(V45&lt;&gt;"",INDEX($G$3:$I$228,MATCH($U45,$T$3:$T$228,0),COLUMNS($U$3:V45)),"")</f>
        <v/>
      </c>
      <c r="X45" s="1" t="str">
        <f>IF(W45&lt;&gt;"",INDEX($G$3:$I$228,MATCH($U45,$T$3:$T$228,0),COLUMNS($U$3:W45)),"")</f>
        <v/>
      </c>
      <c r="Z45" s="1" t="b">
        <f t="shared" si="2"/>
        <v>1</v>
      </c>
      <c r="AA45" s="1">
        <f>IF(Z45=TRUE,ROWS($Z$3:Z45),"")</f>
        <v>43</v>
      </c>
      <c r="AB45" s="1">
        <f>IFERROR(SMALL($AA$3:$AA$228,ROWS($AA$3:AA45)),"")</f>
        <v>43</v>
      </c>
      <c r="AC45" s="1" t="str">
        <f>IF(AB45&lt;&gt;"",INDEX($G$3:$I$228,MATCH($AB45,$AA$3:$AA$228,0),COLUMNS($AA$3:AA45)),"")</f>
        <v>Quickmart Buruburu</v>
      </c>
      <c r="AD45" s="1">
        <f>IF(AC45&lt;&gt;"",INDEX($G$3:$I$228,MATCH($AB45,$AA$3:$AA$228,0),COLUMNS($AA$3:AB45)),"")</f>
        <v>189524.91</v>
      </c>
      <c r="AE45" s="1" t="str">
        <f>IF(AD45&lt;&gt;"",INDEX($G$3:$I$228,MATCH($AB45,$AA$3:$AA$228,0),COLUMNS($AA$3:AC45)),"")</f>
        <v>Nairobi</v>
      </c>
    </row>
    <row r="46" spans="1:31" x14ac:dyDescent="0.2">
      <c r="A46" s="2">
        <v>44746</v>
      </c>
      <c r="B46" s="1" t="s">
        <v>62</v>
      </c>
      <c r="C46" s="1" t="s">
        <v>251</v>
      </c>
      <c r="D46" s="1">
        <v>132620</v>
      </c>
      <c r="E46" s="3">
        <v>34519.56</v>
      </c>
      <c r="F46" s="1" t="s">
        <v>4</v>
      </c>
      <c r="G46" s="1" t="s">
        <v>96</v>
      </c>
      <c r="H46" s="3">
        <f>SUMIFS(Table1[Value],Table1[Outlets],G46)</f>
        <v>184179.27999999997</v>
      </c>
      <c r="I46" s="1" t="str">
        <f>IFERROR(VLOOKUP(G46,Table1[[Outlets]:[Region]],2,0),"")</f>
        <v>Nairobi</v>
      </c>
      <c r="K46" s="1" t="b">
        <f t="shared" si="0"/>
        <v>0</v>
      </c>
      <c r="L46" s="1" t="str">
        <f>IF(K46=TRUE,ROWS($J$3:J46),"")</f>
        <v/>
      </c>
      <c r="M46" s="1" t="str">
        <f>IFERROR(SMALL($L$3:$L$228,ROWS($L$3:L46)),"")</f>
        <v/>
      </c>
      <c r="N46" s="1" t="str">
        <f>IF(M46&lt;&gt;"",INDEX($G$3:$I$228,MATCH($M46,$L$3:$L$228,0),COLUMNS($L$3:L46)),"")</f>
        <v/>
      </c>
      <c r="O46" s="3" t="str">
        <f>IF(N46&lt;&gt;"",INDEX($G$3:$I$228,MATCH($M46,$L$3:$L$228,0),COLUMNS($L$3:M46)),"")</f>
        <v/>
      </c>
      <c r="P46" s="1" t="str">
        <f>IF(O46&lt;&gt;"",INDEX($G$3:$I$228,MATCH($M46,$L$3:$L$228,0),COLUMNS($L$3:N46)),"")</f>
        <v/>
      </c>
      <c r="S46" s="1" t="b">
        <f t="shared" si="1"/>
        <v>0</v>
      </c>
      <c r="T46" s="1" t="str">
        <f>IF(S46=TRUE,ROWS($S$3:S46),"")</f>
        <v/>
      </c>
      <c r="U46" s="1" t="str">
        <f>IFERROR(SMALL($T$3:$T$228,ROWS($T$3:T46)),"")</f>
        <v/>
      </c>
      <c r="V46" s="1" t="str">
        <f>IF(U46&lt;&gt;"",INDEX($G$3:$I$228,MATCH($U46,$T$3:$T$228,0),COLUMNS($U$3:U46)),"")</f>
        <v/>
      </c>
      <c r="W46" s="1" t="str">
        <f>IF(V46&lt;&gt;"",INDEX($G$3:$I$228,MATCH($U46,$T$3:$T$228,0),COLUMNS($U$3:V46)),"")</f>
        <v/>
      </c>
      <c r="X46" s="1" t="str">
        <f>IF(W46&lt;&gt;"",INDEX($G$3:$I$228,MATCH($U46,$T$3:$T$228,0),COLUMNS($U$3:W46)),"")</f>
        <v/>
      </c>
      <c r="Z46" s="1" t="b">
        <f t="shared" si="2"/>
        <v>1</v>
      </c>
      <c r="AA46" s="1">
        <f>IF(Z46=TRUE,ROWS($Z$3:Z46),"")</f>
        <v>44</v>
      </c>
      <c r="AB46" s="1">
        <f>IFERROR(SMALL($AA$3:$AA$228,ROWS($AA$3:AA46)),"")</f>
        <v>44</v>
      </c>
      <c r="AC46" s="1" t="str">
        <f>IF(AB46&lt;&gt;"",INDEX($G$3:$I$228,MATCH($AB46,$AA$3:$AA$228,0),COLUMNS($AA$3:AA46)),"")</f>
        <v>Quickmart Ruaka</v>
      </c>
      <c r="AD46" s="1">
        <f>IF(AC46&lt;&gt;"",INDEX($G$3:$I$228,MATCH($AB46,$AA$3:$AA$228,0),COLUMNS($AA$3:AB46)),"")</f>
        <v>184179.27999999997</v>
      </c>
      <c r="AE46" s="1" t="str">
        <f>IF(AD46&lt;&gt;"",INDEX($G$3:$I$228,MATCH($AB46,$AA$3:$AA$228,0),COLUMNS($AA$3:AC46)),"")</f>
        <v>Nairobi</v>
      </c>
    </row>
    <row r="47" spans="1:31" x14ac:dyDescent="0.2">
      <c r="A47" s="2">
        <v>44746</v>
      </c>
      <c r="B47" s="1" t="s">
        <v>30</v>
      </c>
      <c r="C47" s="1" t="s">
        <v>3</v>
      </c>
      <c r="D47" s="1">
        <v>132630</v>
      </c>
      <c r="E47" s="3">
        <v>23797.85</v>
      </c>
      <c r="F47" s="1" t="s">
        <v>4</v>
      </c>
      <c r="G47" s="1" t="s">
        <v>48</v>
      </c>
      <c r="H47" s="3">
        <f>SUMIFS(Table1[Value],Table1[Outlets],G47)</f>
        <v>183347</v>
      </c>
      <c r="I47" s="1" t="str">
        <f>IFERROR(VLOOKUP(G47,Table1[[Outlets]:[Region]],2,0),"")</f>
        <v>Nairobi</v>
      </c>
      <c r="K47" s="1" t="b">
        <f t="shared" si="0"/>
        <v>0</v>
      </c>
      <c r="L47" s="1" t="str">
        <f>IF(K47=TRUE,ROWS($J$3:J47),"")</f>
        <v/>
      </c>
      <c r="M47" s="1" t="str">
        <f>IFERROR(SMALL($L$3:$L$228,ROWS($L$3:L47)),"")</f>
        <v/>
      </c>
      <c r="N47" s="1" t="str">
        <f>IF(M47&lt;&gt;"",INDEX($G$3:$I$228,MATCH($M47,$L$3:$L$228,0),COLUMNS($L$3:L47)),"")</f>
        <v/>
      </c>
      <c r="O47" s="3" t="str">
        <f>IF(N47&lt;&gt;"",INDEX($G$3:$I$228,MATCH($M47,$L$3:$L$228,0),COLUMNS($L$3:M47)),"")</f>
        <v/>
      </c>
      <c r="P47" s="1" t="str">
        <f>IF(O47&lt;&gt;"",INDEX($G$3:$I$228,MATCH($M47,$L$3:$L$228,0),COLUMNS($L$3:N47)),"")</f>
        <v/>
      </c>
      <c r="S47" s="1" t="b">
        <f t="shared" si="1"/>
        <v>0</v>
      </c>
      <c r="T47" s="1" t="str">
        <f>IF(S47=TRUE,ROWS($S$3:S47),"")</f>
        <v/>
      </c>
      <c r="U47" s="1" t="str">
        <f>IFERROR(SMALL($T$3:$T$228,ROWS($T$3:T47)),"")</f>
        <v/>
      </c>
      <c r="V47" s="1" t="str">
        <f>IF(U47&lt;&gt;"",INDEX($G$3:$I$228,MATCH($U47,$T$3:$T$228,0),COLUMNS($U$3:U47)),"")</f>
        <v/>
      </c>
      <c r="W47" s="1" t="str">
        <f>IF(V47&lt;&gt;"",INDEX($G$3:$I$228,MATCH($U47,$T$3:$T$228,0),COLUMNS($U$3:V47)),"")</f>
        <v/>
      </c>
      <c r="X47" s="1" t="str">
        <f>IF(W47&lt;&gt;"",INDEX($G$3:$I$228,MATCH($U47,$T$3:$T$228,0),COLUMNS($U$3:W47)),"")</f>
        <v/>
      </c>
      <c r="Z47" s="1" t="b">
        <f t="shared" si="2"/>
        <v>1</v>
      </c>
      <c r="AA47" s="1">
        <f>IF(Z47=TRUE,ROWS($Z$3:Z47),"")</f>
        <v>45</v>
      </c>
      <c r="AB47" s="1">
        <f>IFERROR(SMALL($AA$3:$AA$228,ROWS($AA$3:AA47)),"")</f>
        <v>45</v>
      </c>
      <c r="AC47" s="1" t="str">
        <f>IF(AB47&lt;&gt;"",INDEX($G$3:$I$228,MATCH($AB47,$AA$3:$AA$228,0),COLUMNS($AA$3:AA47)),"")</f>
        <v>Quickmart Tom Mboya</v>
      </c>
      <c r="AD47" s="1">
        <f>IF(AC47&lt;&gt;"",INDEX($G$3:$I$228,MATCH($AB47,$AA$3:$AA$228,0),COLUMNS($AA$3:AB47)),"")</f>
        <v>183347</v>
      </c>
      <c r="AE47" s="1" t="str">
        <f>IF(AD47&lt;&gt;"",INDEX($G$3:$I$228,MATCH($AB47,$AA$3:$AA$228,0),COLUMNS($AA$3:AC47)),"")</f>
        <v>Nairobi</v>
      </c>
    </row>
    <row r="48" spans="1:31" x14ac:dyDescent="0.2">
      <c r="A48" s="2">
        <v>44747</v>
      </c>
      <c r="B48" s="1" t="s">
        <v>63</v>
      </c>
      <c r="C48" s="1" t="s">
        <v>3</v>
      </c>
      <c r="D48" s="1">
        <v>132637</v>
      </c>
      <c r="E48" s="3">
        <v>93363.16</v>
      </c>
      <c r="F48" s="1" t="s">
        <v>8</v>
      </c>
      <c r="G48" s="1" t="s">
        <v>112</v>
      </c>
      <c r="H48" s="3">
        <f>SUMIFS(Table1[Value],Table1[Outlets],G48)</f>
        <v>167596.35</v>
      </c>
      <c r="I48" s="1" t="str">
        <f>IFERROR(VLOOKUP(G48,Table1[[Outlets]:[Region]],2,0),"")</f>
        <v>Nairobi</v>
      </c>
      <c r="K48" s="1" t="b">
        <f t="shared" si="0"/>
        <v>0</v>
      </c>
      <c r="L48" s="1" t="str">
        <f>IF(K48=TRUE,ROWS($J$3:J48),"")</f>
        <v/>
      </c>
      <c r="M48" s="1" t="str">
        <f>IFERROR(SMALL($L$3:$L$228,ROWS($L$3:L48)),"")</f>
        <v/>
      </c>
      <c r="N48" s="1" t="str">
        <f>IF(M48&lt;&gt;"",INDEX($G$3:$I$228,MATCH($M48,$L$3:$L$228,0),COLUMNS($L$3:L48)),"")</f>
        <v/>
      </c>
      <c r="O48" s="3" t="str">
        <f>IF(N48&lt;&gt;"",INDEX($G$3:$I$228,MATCH($M48,$L$3:$L$228,0),COLUMNS($L$3:M48)),"")</f>
        <v/>
      </c>
      <c r="P48" s="1" t="str">
        <f>IF(O48&lt;&gt;"",INDEX($G$3:$I$228,MATCH($M48,$L$3:$L$228,0),COLUMNS($L$3:N48)),"")</f>
        <v/>
      </c>
      <c r="S48" s="1" t="b">
        <f t="shared" si="1"/>
        <v>0</v>
      </c>
      <c r="T48" s="1" t="str">
        <f>IF(S48=TRUE,ROWS($S$3:S48),"")</f>
        <v/>
      </c>
      <c r="U48" s="1" t="str">
        <f>IFERROR(SMALL($T$3:$T$228,ROWS($T$3:T48)),"")</f>
        <v/>
      </c>
      <c r="V48" s="1" t="str">
        <f>IF(U48&lt;&gt;"",INDEX($G$3:$I$228,MATCH($U48,$T$3:$T$228,0),COLUMNS($U$3:U48)),"")</f>
        <v/>
      </c>
      <c r="W48" s="1" t="str">
        <f>IF(V48&lt;&gt;"",INDEX($G$3:$I$228,MATCH($U48,$T$3:$T$228,0),COLUMNS($U$3:V48)),"")</f>
        <v/>
      </c>
      <c r="X48" s="1" t="str">
        <f>IF(W48&lt;&gt;"",INDEX($G$3:$I$228,MATCH($U48,$T$3:$T$228,0),COLUMNS($U$3:W48)),"")</f>
        <v/>
      </c>
      <c r="Z48" s="1" t="b">
        <f t="shared" si="2"/>
        <v>1</v>
      </c>
      <c r="AA48" s="1">
        <f>IF(Z48=TRUE,ROWS($Z$3:Z48),"")</f>
        <v>46</v>
      </c>
      <c r="AB48" s="1">
        <f>IFERROR(SMALL($AA$3:$AA$228,ROWS($AA$3:AA48)),"")</f>
        <v>46</v>
      </c>
      <c r="AC48" s="1" t="str">
        <f>IF(AB48&lt;&gt;"",INDEX($G$3:$I$228,MATCH($AB48,$AA$3:$AA$228,0),COLUMNS($AA$3:AA48)),"")</f>
        <v>Quickmart Tmall</v>
      </c>
      <c r="AD48" s="1">
        <f>IF(AC48&lt;&gt;"",INDEX($G$3:$I$228,MATCH($AB48,$AA$3:$AA$228,0),COLUMNS($AA$3:AB48)),"")</f>
        <v>167596.35</v>
      </c>
      <c r="AE48" s="1" t="str">
        <f>IF(AD48&lt;&gt;"",INDEX($G$3:$I$228,MATCH($AB48,$AA$3:$AA$228,0),COLUMNS($AA$3:AC48)),"")</f>
        <v>Nairobi</v>
      </c>
    </row>
    <row r="49" spans="1:31" x14ac:dyDescent="0.2">
      <c r="A49" s="2">
        <v>44747</v>
      </c>
      <c r="B49" s="1" t="s">
        <v>64</v>
      </c>
      <c r="C49" s="1" t="s">
        <v>3</v>
      </c>
      <c r="D49" s="1">
        <v>132639</v>
      </c>
      <c r="E49" s="3">
        <v>75475.460000000006</v>
      </c>
      <c r="F49" s="1" t="s">
        <v>8</v>
      </c>
      <c r="G49" s="1" t="s">
        <v>114</v>
      </c>
      <c r="H49" s="3">
        <f>SUMIFS(Table1[Value],Table1[Outlets],G49)</f>
        <v>166283.38</v>
      </c>
      <c r="I49" s="1" t="str">
        <f>IFERROR(VLOOKUP(G49,Table1[[Outlets]:[Region]],2,0),"")</f>
        <v>Nairobi</v>
      </c>
      <c r="K49" s="1" t="b">
        <f t="shared" si="0"/>
        <v>0</v>
      </c>
      <c r="L49" s="1" t="str">
        <f>IF(K49=TRUE,ROWS($J$3:J49),"")</f>
        <v/>
      </c>
      <c r="M49" s="1" t="str">
        <f>IFERROR(SMALL($L$3:$L$228,ROWS($L$3:L49)),"")</f>
        <v/>
      </c>
      <c r="N49" s="1" t="str">
        <f>IF(M49&lt;&gt;"",INDEX($G$3:$I$228,MATCH($M49,$L$3:$L$228,0),COLUMNS($L$3:L49)),"")</f>
        <v/>
      </c>
      <c r="O49" s="3" t="str">
        <f>IF(N49&lt;&gt;"",INDEX($G$3:$I$228,MATCH($M49,$L$3:$L$228,0),COLUMNS($L$3:M49)),"")</f>
        <v/>
      </c>
      <c r="P49" s="1" t="str">
        <f>IF(O49&lt;&gt;"",INDEX($G$3:$I$228,MATCH($M49,$L$3:$L$228,0),COLUMNS($L$3:N49)),"")</f>
        <v/>
      </c>
      <c r="S49" s="1" t="b">
        <f t="shared" si="1"/>
        <v>0</v>
      </c>
      <c r="T49" s="1" t="str">
        <f>IF(S49=TRUE,ROWS($S$3:S49),"")</f>
        <v/>
      </c>
      <c r="U49" s="1" t="str">
        <f>IFERROR(SMALL($T$3:$T$228,ROWS($T$3:T49)),"")</f>
        <v/>
      </c>
      <c r="V49" s="1" t="str">
        <f>IF(U49&lt;&gt;"",INDEX($G$3:$I$228,MATCH($U49,$T$3:$T$228,0),COLUMNS($U$3:U49)),"")</f>
        <v/>
      </c>
      <c r="W49" s="1" t="str">
        <f>IF(V49&lt;&gt;"",INDEX($G$3:$I$228,MATCH($U49,$T$3:$T$228,0),COLUMNS($U$3:V49)),"")</f>
        <v/>
      </c>
      <c r="X49" s="1" t="str">
        <f>IF(W49&lt;&gt;"",INDEX($G$3:$I$228,MATCH($U49,$T$3:$T$228,0),COLUMNS($U$3:W49)),"")</f>
        <v/>
      </c>
      <c r="Z49" s="1" t="b">
        <f t="shared" si="2"/>
        <v>1</v>
      </c>
      <c r="AA49" s="1">
        <f>IF(Z49=TRUE,ROWS($Z$3:Z49),"")</f>
        <v>47</v>
      </c>
      <c r="AB49" s="1">
        <f>IFERROR(SMALL($AA$3:$AA$228,ROWS($AA$3:AA49)),"")</f>
        <v>47</v>
      </c>
      <c r="AC49" s="1" t="str">
        <f>IF(AB49&lt;&gt;"",INDEX($G$3:$I$228,MATCH($AB49,$AA$3:$AA$228,0),COLUMNS($AA$3:AA49)),"")</f>
        <v>Quickmart Chaka</v>
      </c>
      <c r="AD49" s="1">
        <f>IF(AC49&lt;&gt;"",INDEX($G$3:$I$228,MATCH($AB49,$AA$3:$AA$228,0),COLUMNS($AA$3:AB49)),"")</f>
        <v>166283.38</v>
      </c>
      <c r="AE49" s="1" t="str">
        <f>IF(AD49&lt;&gt;"",INDEX($G$3:$I$228,MATCH($AB49,$AA$3:$AA$228,0),COLUMNS($AA$3:AC49)),"")</f>
        <v>Nairobi</v>
      </c>
    </row>
    <row r="50" spans="1:31" x14ac:dyDescent="0.2">
      <c r="A50" s="2">
        <v>44747</v>
      </c>
      <c r="B50" s="1" t="s">
        <v>65</v>
      </c>
      <c r="C50" s="1" t="s">
        <v>3</v>
      </c>
      <c r="D50" s="1">
        <v>132640</v>
      </c>
      <c r="E50" s="3">
        <v>255187.92</v>
      </c>
      <c r="F50" s="1" t="s">
        <v>8</v>
      </c>
      <c r="G50" s="1" t="s">
        <v>202</v>
      </c>
      <c r="H50" s="3">
        <f>SUMIFS(Table1[Value],Table1[Outlets],G50)</f>
        <v>166184.92000000001</v>
      </c>
      <c r="I50" s="1" t="str">
        <f>IFERROR(VLOOKUP(G50,Table1[[Outlets]:[Region]],2,0),"")</f>
        <v>Nyanza</v>
      </c>
      <c r="K50" s="1" t="b">
        <f t="shared" si="0"/>
        <v>1</v>
      </c>
      <c r="L50" s="1">
        <f>IF(K50=TRUE,ROWS($J$3:J50),"")</f>
        <v>48</v>
      </c>
      <c r="M50" s="1" t="str">
        <f>IFERROR(SMALL($L$3:$L$228,ROWS($L$3:L50)),"")</f>
        <v/>
      </c>
      <c r="N50" s="1" t="str">
        <f>IF(M50&lt;&gt;"",INDEX($G$3:$I$228,MATCH($M50,$L$3:$L$228,0),COLUMNS($L$3:L50)),"")</f>
        <v/>
      </c>
      <c r="O50" s="3" t="str">
        <f>IF(N50&lt;&gt;"",INDEX($G$3:$I$228,MATCH($M50,$L$3:$L$228,0),COLUMNS($L$3:M50)),"")</f>
        <v/>
      </c>
      <c r="P50" s="1" t="str">
        <f>IF(O50&lt;&gt;"",INDEX($G$3:$I$228,MATCH($M50,$L$3:$L$228,0),COLUMNS($L$3:N50)),"")</f>
        <v/>
      </c>
      <c r="S50" s="1" t="b">
        <f t="shared" si="1"/>
        <v>0</v>
      </c>
      <c r="T50" s="1" t="str">
        <f>IF(S50=TRUE,ROWS($S$3:S50),"")</f>
        <v/>
      </c>
      <c r="U50" s="1" t="str">
        <f>IFERROR(SMALL($T$3:$T$228,ROWS($T$3:T50)),"")</f>
        <v/>
      </c>
      <c r="V50" s="1" t="str">
        <f>IF(U50&lt;&gt;"",INDEX($G$3:$I$228,MATCH($U50,$T$3:$T$228,0),COLUMNS($U$3:U50)),"")</f>
        <v/>
      </c>
      <c r="W50" s="1" t="str">
        <f>IF(V50&lt;&gt;"",INDEX($G$3:$I$228,MATCH($U50,$T$3:$T$228,0),COLUMNS($U$3:V50)),"")</f>
        <v/>
      </c>
      <c r="X50" s="1" t="str">
        <f>IF(W50&lt;&gt;"",INDEX($G$3:$I$228,MATCH($U50,$T$3:$T$228,0),COLUMNS($U$3:W50)),"")</f>
        <v/>
      </c>
      <c r="Z50" s="1" t="b">
        <f t="shared" si="2"/>
        <v>1</v>
      </c>
      <c r="AA50" s="1">
        <f>IF(Z50=TRUE,ROWS($Z$3:Z50),"")</f>
        <v>48</v>
      </c>
      <c r="AB50" s="1">
        <f>IFERROR(SMALL($AA$3:$AA$228,ROWS($AA$3:AA50)),"")</f>
        <v>48</v>
      </c>
      <c r="AC50" s="1" t="str">
        <f>IF(AB50&lt;&gt;"",INDEX($G$3:$I$228,MATCH($AB50,$AA$3:$AA$228,0),COLUMNS($AA$3:AA50)),"")</f>
        <v>Chandarana Westend</v>
      </c>
      <c r="AD50" s="1">
        <f>IF(AC50&lt;&gt;"",INDEX($G$3:$I$228,MATCH($AB50,$AA$3:$AA$228,0),COLUMNS($AA$3:AB50)),"")</f>
        <v>166184.92000000001</v>
      </c>
      <c r="AE50" s="1" t="str">
        <f>IF(AD50&lt;&gt;"",INDEX($G$3:$I$228,MATCH($AB50,$AA$3:$AA$228,0),COLUMNS($AA$3:AC50)),"")</f>
        <v>Nyanza</v>
      </c>
    </row>
    <row r="51" spans="1:31" x14ac:dyDescent="0.2">
      <c r="A51" s="2">
        <v>44747</v>
      </c>
      <c r="B51" s="1" t="s">
        <v>66</v>
      </c>
      <c r="C51" s="1" t="s">
        <v>3</v>
      </c>
      <c r="D51" s="1">
        <v>132641</v>
      </c>
      <c r="E51" s="3">
        <v>168869.43</v>
      </c>
      <c r="F51" s="1" t="s">
        <v>8</v>
      </c>
      <c r="G51" s="1" t="s">
        <v>50</v>
      </c>
      <c r="H51" s="3">
        <f>SUMIFS(Table1[Value],Table1[Outlets],G51)</f>
        <v>165328.47999999998</v>
      </c>
      <c r="I51" s="1" t="str">
        <f>IFERROR(VLOOKUP(G51,Table1[[Outlets]:[Region]],2,0),"")</f>
        <v>Coast</v>
      </c>
      <c r="K51" s="1" t="b">
        <f t="shared" si="0"/>
        <v>0</v>
      </c>
      <c r="L51" s="1" t="str">
        <f>IF(K51=TRUE,ROWS($J$3:J51),"")</f>
        <v/>
      </c>
      <c r="M51" s="1" t="str">
        <f>IFERROR(SMALL($L$3:$L$228,ROWS($L$3:L51)),"")</f>
        <v/>
      </c>
      <c r="N51" s="1" t="str">
        <f>IF(M51&lt;&gt;"",INDEX($G$3:$I$228,MATCH($M51,$L$3:$L$228,0),COLUMNS($L$3:L51)),"")</f>
        <v/>
      </c>
      <c r="O51" s="3" t="str">
        <f>IF(N51&lt;&gt;"",INDEX($G$3:$I$228,MATCH($M51,$L$3:$L$228,0),COLUMNS($L$3:M51)),"")</f>
        <v/>
      </c>
      <c r="P51" s="1" t="str">
        <f>IF(O51&lt;&gt;"",INDEX($G$3:$I$228,MATCH($M51,$L$3:$L$228,0),COLUMNS($L$3:N51)),"")</f>
        <v/>
      </c>
      <c r="S51" s="1" t="b">
        <f t="shared" si="1"/>
        <v>0</v>
      </c>
      <c r="T51" s="1" t="str">
        <f>IF(S51=TRUE,ROWS($S$3:S51),"")</f>
        <v/>
      </c>
      <c r="U51" s="1" t="str">
        <f>IFERROR(SMALL($T$3:$T$228,ROWS($T$3:T51)),"")</f>
        <v/>
      </c>
      <c r="V51" s="1" t="str">
        <f>IF(U51&lt;&gt;"",INDEX($G$3:$I$228,MATCH($U51,$T$3:$T$228,0),COLUMNS($U$3:U51)),"")</f>
        <v/>
      </c>
      <c r="W51" s="1" t="str">
        <f>IF(V51&lt;&gt;"",INDEX($G$3:$I$228,MATCH($U51,$T$3:$T$228,0),COLUMNS($U$3:V51)),"")</f>
        <v/>
      </c>
      <c r="X51" s="1" t="str">
        <f>IF(W51&lt;&gt;"",INDEX($G$3:$I$228,MATCH($U51,$T$3:$T$228,0),COLUMNS($U$3:W51)),"")</f>
        <v/>
      </c>
      <c r="Z51" s="1" t="b">
        <f t="shared" si="2"/>
        <v>1</v>
      </c>
      <c r="AA51" s="1">
        <f>IF(Z51=TRUE,ROWS($Z$3:Z51),"")</f>
        <v>49</v>
      </c>
      <c r="AB51" s="1">
        <f>IFERROR(SMALL($AA$3:$AA$228,ROWS($AA$3:AA51)),"")</f>
        <v>49</v>
      </c>
      <c r="AC51" s="1" t="str">
        <f>IF(AB51&lt;&gt;"",INDEX($G$3:$I$228,MATCH($AB51,$AA$3:$AA$228,0),COLUMNS($AA$3:AA51)),"")</f>
        <v>Naivas Kilifi</v>
      </c>
      <c r="AD51" s="1">
        <f>IF(AC51&lt;&gt;"",INDEX($G$3:$I$228,MATCH($AB51,$AA$3:$AA$228,0),COLUMNS($AA$3:AB51)),"")</f>
        <v>165328.47999999998</v>
      </c>
      <c r="AE51" s="1" t="str">
        <f>IF(AD51&lt;&gt;"",INDEX($G$3:$I$228,MATCH($AB51,$AA$3:$AA$228,0),COLUMNS($AA$3:AC51)),"")</f>
        <v>Coast</v>
      </c>
    </row>
    <row r="52" spans="1:31" x14ac:dyDescent="0.2">
      <c r="A52" s="2">
        <v>44747</v>
      </c>
      <c r="B52" s="1" t="s">
        <v>67</v>
      </c>
      <c r="C52" s="1" t="s">
        <v>3</v>
      </c>
      <c r="D52" s="1">
        <v>132642</v>
      </c>
      <c r="E52" s="3">
        <v>34204.86</v>
      </c>
      <c r="F52" s="1" t="s">
        <v>8</v>
      </c>
      <c r="G52" s="1" t="s">
        <v>136</v>
      </c>
      <c r="H52" s="3">
        <f>SUMIFS(Table1[Value],Table1[Outlets],G52)</f>
        <v>164212.62</v>
      </c>
      <c r="I52" s="1" t="str">
        <f>IFERROR(VLOOKUP(G52,Table1[[Outlets]:[Region]],2,0),"")</f>
        <v>Nairobi</v>
      </c>
      <c r="K52" s="1" t="b">
        <f t="shared" si="0"/>
        <v>0</v>
      </c>
      <c r="L52" s="1" t="str">
        <f>IF(K52=TRUE,ROWS($J$3:J52),"")</f>
        <v/>
      </c>
      <c r="M52" s="1" t="str">
        <f>IFERROR(SMALL($L$3:$L$228,ROWS($L$3:L52)),"")</f>
        <v/>
      </c>
      <c r="N52" s="1" t="str">
        <f>IF(M52&lt;&gt;"",INDEX($G$3:$I$228,MATCH($M52,$L$3:$L$228,0),COLUMNS($L$3:L52)),"")</f>
        <v/>
      </c>
      <c r="O52" s="3" t="str">
        <f>IF(N52&lt;&gt;"",INDEX($G$3:$I$228,MATCH($M52,$L$3:$L$228,0),COLUMNS($L$3:M52)),"")</f>
        <v/>
      </c>
      <c r="P52" s="1" t="str">
        <f>IF(O52&lt;&gt;"",INDEX($G$3:$I$228,MATCH($M52,$L$3:$L$228,0),COLUMNS($L$3:N52)),"")</f>
        <v/>
      </c>
      <c r="S52" s="1" t="b">
        <f t="shared" si="1"/>
        <v>0</v>
      </c>
      <c r="T52" s="1" t="str">
        <f>IF(S52=TRUE,ROWS($S$3:S52),"")</f>
        <v/>
      </c>
      <c r="U52" s="1" t="str">
        <f>IFERROR(SMALL($T$3:$T$228,ROWS($T$3:T52)),"")</f>
        <v/>
      </c>
      <c r="V52" s="1" t="str">
        <f>IF(U52&lt;&gt;"",INDEX($G$3:$I$228,MATCH($U52,$T$3:$T$228,0),COLUMNS($U$3:U52)),"")</f>
        <v/>
      </c>
      <c r="W52" s="1" t="str">
        <f>IF(V52&lt;&gt;"",INDEX($G$3:$I$228,MATCH($U52,$T$3:$T$228,0),COLUMNS($U$3:V52)),"")</f>
        <v/>
      </c>
      <c r="X52" s="1" t="str">
        <f>IF(W52&lt;&gt;"",INDEX($G$3:$I$228,MATCH($U52,$T$3:$T$228,0),COLUMNS($U$3:W52)),"")</f>
        <v/>
      </c>
      <c r="Z52" s="1" t="b">
        <f t="shared" si="2"/>
        <v>1</v>
      </c>
      <c r="AA52" s="1">
        <f>IF(Z52=TRUE,ROWS($Z$3:Z52),"")</f>
        <v>50</v>
      </c>
      <c r="AB52" s="1">
        <f>IFERROR(SMALL($AA$3:$AA$228,ROWS($AA$3:AA52)),"")</f>
        <v>50</v>
      </c>
      <c r="AC52" s="1" t="str">
        <f>IF(AB52&lt;&gt;"",INDEX($G$3:$I$228,MATCH($AB52,$AA$3:$AA$228,0),COLUMNS($AA$3:AA52)),"")</f>
        <v>Naivas Westlands</v>
      </c>
      <c r="AD52" s="1">
        <f>IF(AC52&lt;&gt;"",INDEX($G$3:$I$228,MATCH($AB52,$AA$3:$AA$228,0),COLUMNS($AA$3:AB52)),"")</f>
        <v>164212.62</v>
      </c>
      <c r="AE52" s="1" t="str">
        <f>IF(AD52&lt;&gt;"",INDEX($G$3:$I$228,MATCH($AB52,$AA$3:$AA$228,0),COLUMNS($AA$3:AC52)),"")</f>
        <v>Nairobi</v>
      </c>
    </row>
    <row r="53" spans="1:31" x14ac:dyDescent="0.2">
      <c r="A53" s="2">
        <v>44747</v>
      </c>
      <c r="B53" s="1" t="s">
        <v>68</v>
      </c>
      <c r="C53" s="1" t="s">
        <v>3</v>
      </c>
      <c r="D53" s="1">
        <v>132643</v>
      </c>
      <c r="E53" s="3">
        <v>339531.24</v>
      </c>
      <c r="F53" s="1" t="s">
        <v>8</v>
      </c>
      <c r="G53" s="1" t="s">
        <v>34</v>
      </c>
      <c r="H53" s="3">
        <f>SUMIFS(Table1[Value],Table1[Outlets],G53)</f>
        <v>163385.25</v>
      </c>
      <c r="I53" s="1" t="str">
        <f>IFERROR(VLOOKUP(G53,Table1[[Outlets]:[Region]],2,0),"")</f>
        <v>Nairobi</v>
      </c>
      <c r="K53" s="1" t="b">
        <f t="shared" si="0"/>
        <v>1</v>
      </c>
      <c r="L53" s="1">
        <f>IF(K53=TRUE,ROWS($J$3:J53),"")</f>
        <v>51</v>
      </c>
      <c r="M53" s="1" t="str">
        <f>IFERROR(SMALL($L$3:$L$228,ROWS($L$3:L53)),"")</f>
        <v/>
      </c>
      <c r="N53" s="1" t="str">
        <f>IF(M53&lt;&gt;"",INDEX($G$3:$I$228,MATCH($M53,$L$3:$L$228,0),COLUMNS($L$3:L53)),"")</f>
        <v/>
      </c>
      <c r="O53" s="3" t="str">
        <f>IF(N53&lt;&gt;"",INDEX($G$3:$I$228,MATCH($M53,$L$3:$L$228,0),COLUMNS($L$3:M53)),"")</f>
        <v/>
      </c>
      <c r="P53" s="1" t="str">
        <f>IF(O53&lt;&gt;"",INDEX($G$3:$I$228,MATCH($M53,$L$3:$L$228,0),COLUMNS($L$3:N53)),"")</f>
        <v/>
      </c>
      <c r="S53" s="1" t="b">
        <f t="shared" si="1"/>
        <v>0</v>
      </c>
      <c r="T53" s="1" t="str">
        <f>IF(S53=TRUE,ROWS($S$3:S53),"")</f>
        <v/>
      </c>
      <c r="U53" s="1" t="str">
        <f>IFERROR(SMALL($T$3:$T$228,ROWS($T$3:T53)),"")</f>
        <v/>
      </c>
      <c r="V53" s="1" t="str">
        <f>IF(U53&lt;&gt;"",INDEX($G$3:$I$228,MATCH($U53,$T$3:$T$228,0),COLUMNS($U$3:U53)),"")</f>
        <v/>
      </c>
      <c r="W53" s="1" t="str">
        <f>IF(V53&lt;&gt;"",INDEX($G$3:$I$228,MATCH($U53,$T$3:$T$228,0),COLUMNS($U$3:V53)),"")</f>
        <v/>
      </c>
      <c r="X53" s="1" t="str">
        <f>IF(W53&lt;&gt;"",INDEX($G$3:$I$228,MATCH($U53,$T$3:$T$228,0),COLUMNS($U$3:W53)),"")</f>
        <v/>
      </c>
      <c r="Z53" s="1" t="b">
        <f t="shared" si="2"/>
        <v>1</v>
      </c>
      <c r="AA53" s="1">
        <f>IF(Z53=TRUE,ROWS($Z$3:Z53),"")</f>
        <v>51</v>
      </c>
      <c r="AB53" s="1">
        <f>IFERROR(SMALL($AA$3:$AA$228,ROWS($AA$3:AA53)),"")</f>
        <v>51</v>
      </c>
      <c r="AC53" s="1" t="str">
        <f>IF(AB53&lt;&gt;"",INDEX($G$3:$I$228,MATCH($AB53,$AA$3:$AA$228,0),COLUMNS($AA$3:AA53)),"")</f>
        <v>Chandarana Roselyn</v>
      </c>
      <c r="AD53" s="1">
        <f>IF(AC53&lt;&gt;"",INDEX($G$3:$I$228,MATCH($AB53,$AA$3:$AA$228,0),COLUMNS($AA$3:AB53)),"")</f>
        <v>163385.25</v>
      </c>
      <c r="AE53" s="1" t="str">
        <f>IF(AD53&lt;&gt;"",INDEX($G$3:$I$228,MATCH($AB53,$AA$3:$AA$228,0),COLUMNS($AA$3:AC53)),"")</f>
        <v>Nairobi</v>
      </c>
    </row>
    <row r="54" spans="1:31" x14ac:dyDescent="0.2">
      <c r="A54" s="2">
        <v>44747</v>
      </c>
      <c r="B54" s="1" t="s">
        <v>69</v>
      </c>
      <c r="C54" s="1" t="s">
        <v>3</v>
      </c>
      <c r="D54" s="1">
        <v>132644</v>
      </c>
      <c r="E54" s="3">
        <v>128540.48</v>
      </c>
      <c r="F54" s="1" t="s">
        <v>8</v>
      </c>
      <c r="G54" s="1" t="s">
        <v>86</v>
      </c>
      <c r="H54" s="3">
        <f>SUMIFS(Table1[Value],Table1[Outlets],G54)</f>
        <v>154985.57999999999</v>
      </c>
      <c r="I54" s="1" t="str">
        <f>IFERROR(VLOOKUP(G54,Table1[[Outlets]:[Region]],2,0),"")</f>
        <v>Nairobi</v>
      </c>
      <c r="K54" s="1" t="b">
        <f t="shared" si="0"/>
        <v>0</v>
      </c>
      <c r="L54" s="1" t="str">
        <f>IF(K54=TRUE,ROWS($J$3:J54),"")</f>
        <v/>
      </c>
      <c r="M54" s="1" t="str">
        <f>IFERROR(SMALL($L$3:$L$228,ROWS($L$3:L54)),"")</f>
        <v/>
      </c>
      <c r="N54" s="1" t="str">
        <f>IF(M54&lt;&gt;"",INDEX($G$3:$I$228,MATCH($M54,$L$3:$L$228,0),COLUMNS($L$3:L54)),"")</f>
        <v/>
      </c>
      <c r="O54" s="3" t="str">
        <f>IF(N54&lt;&gt;"",INDEX($G$3:$I$228,MATCH($M54,$L$3:$L$228,0),COLUMNS($L$3:M54)),"")</f>
        <v/>
      </c>
      <c r="P54" s="1" t="str">
        <f>IF(O54&lt;&gt;"",INDEX($G$3:$I$228,MATCH($M54,$L$3:$L$228,0),COLUMNS($L$3:N54)),"")</f>
        <v/>
      </c>
      <c r="S54" s="1" t="b">
        <f t="shared" si="1"/>
        <v>0</v>
      </c>
      <c r="T54" s="1" t="str">
        <f>IF(S54=TRUE,ROWS($S$3:S54),"")</f>
        <v/>
      </c>
      <c r="U54" s="1" t="str">
        <f>IFERROR(SMALL($T$3:$T$228,ROWS($T$3:T54)),"")</f>
        <v/>
      </c>
      <c r="V54" s="1" t="str">
        <f>IF(U54&lt;&gt;"",INDEX($G$3:$I$228,MATCH($U54,$T$3:$T$228,0),COLUMNS($U$3:U54)),"")</f>
        <v/>
      </c>
      <c r="W54" s="1" t="str">
        <f>IF(V54&lt;&gt;"",INDEX($G$3:$I$228,MATCH($U54,$T$3:$T$228,0),COLUMNS($U$3:V54)),"")</f>
        <v/>
      </c>
      <c r="X54" s="1" t="str">
        <f>IF(W54&lt;&gt;"",INDEX($G$3:$I$228,MATCH($U54,$T$3:$T$228,0),COLUMNS($U$3:W54)),"")</f>
        <v/>
      </c>
      <c r="Z54" s="1" t="b">
        <f t="shared" si="2"/>
        <v>1</v>
      </c>
      <c r="AA54" s="1">
        <f>IF(Z54=TRUE,ROWS($Z$3:Z54),"")</f>
        <v>52</v>
      </c>
      <c r="AB54" s="1">
        <f>IFERROR(SMALL($AA$3:$AA$228,ROWS($AA$3:AA54)),"")</f>
        <v>52</v>
      </c>
      <c r="AC54" s="1" t="str">
        <f>IF(AB54&lt;&gt;"",INDEX($G$3:$I$228,MATCH($AB54,$AA$3:$AA$228,0),COLUMNS($AA$3:AA54)),"")</f>
        <v>Naivas Capital C</v>
      </c>
      <c r="AD54" s="1">
        <f>IF(AC54&lt;&gt;"",INDEX($G$3:$I$228,MATCH($AB54,$AA$3:$AA$228,0),COLUMNS($AA$3:AB54)),"")</f>
        <v>154985.57999999999</v>
      </c>
      <c r="AE54" s="1" t="str">
        <f>IF(AD54&lt;&gt;"",INDEX($G$3:$I$228,MATCH($AB54,$AA$3:$AA$228,0),COLUMNS($AA$3:AC54)),"")</f>
        <v>Nairobi</v>
      </c>
    </row>
    <row r="55" spans="1:31" x14ac:dyDescent="0.2">
      <c r="A55" s="2">
        <v>44747</v>
      </c>
      <c r="B55" s="1" t="s">
        <v>70</v>
      </c>
      <c r="C55" s="1" t="s">
        <v>3</v>
      </c>
      <c r="D55" s="1">
        <v>132648</v>
      </c>
      <c r="E55" s="3">
        <v>131110.42000000001</v>
      </c>
      <c r="F55" s="1" t="s">
        <v>8</v>
      </c>
      <c r="G55" s="1" t="s">
        <v>47</v>
      </c>
      <c r="H55" s="3">
        <f>SUMIFS(Table1[Value],Table1[Outlets],G55)</f>
        <v>152754.04999999999</v>
      </c>
      <c r="I55" s="1" t="str">
        <f>IFERROR(VLOOKUP(G55,Table1[[Outlets]:[Region]],2,0),"")</f>
        <v>Nairobi</v>
      </c>
      <c r="K55" s="1" t="b">
        <f t="shared" si="0"/>
        <v>0</v>
      </c>
      <c r="L55" s="1" t="str">
        <f>IF(K55=TRUE,ROWS($J$3:J55),"")</f>
        <v/>
      </c>
      <c r="M55" s="1" t="str">
        <f>IFERROR(SMALL($L$3:$L$228,ROWS($L$3:L55)),"")</f>
        <v/>
      </c>
      <c r="N55" s="1" t="str">
        <f>IF(M55&lt;&gt;"",INDEX($G$3:$I$228,MATCH($M55,$L$3:$L$228,0),COLUMNS($L$3:L55)),"")</f>
        <v/>
      </c>
      <c r="O55" s="3" t="str">
        <f>IF(N55&lt;&gt;"",INDEX($G$3:$I$228,MATCH($M55,$L$3:$L$228,0),COLUMNS($L$3:M55)),"")</f>
        <v/>
      </c>
      <c r="P55" s="1" t="str">
        <f>IF(O55&lt;&gt;"",INDEX($G$3:$I$228,MATCH($M55,$L$3:$L$228,0),COLUMNS($L$3:N55)),"")</f>
        <v/>
      </c>
      <c r="S55" s="1" t="b">
        <f t="shared" si="1"/>
        <v>0</v>
      </c>
      <c r="T55" s="1" t="str">
        <f>IF(S55=TRUE,ROWS($S$3:S55),"")</f>
        <v/>
      </c>
      <c r="U55" s="1" t="str">
        <f>IFERROR(SMALL($T$3:$T$228,ROWS($T$3:T55)),"")</f>
        <v/>
      </c>
      <c r="V55" s="1" t="str">
        <f>IF(U55&lt;&gt;"",INDEX($G$3:$I$228,MATCH($U55,$T$3:$T$228,0),COLUMNS($U$3:U55)),"")</f>
        <v/>
      </c>
      <c r="W55" s="1" t="str">
        <f>IF(V55&lt;&gt;"",INDEX($G$3:$I$228,MATCH($U55,$T$3:$T$228,0),COLUMNS($U$3:V55)),"")</f>
        <v/>
      </c>
      <c r="X55" s="1" t="str">
        <f>IF(W55&lt;&gt;"",INDEX($G$3:$I$228,MATCH($U55,$T$3:$T$228,0),COLUMNS($U$3:W55)),"")</f>
        <v/>
      </c>
      <c r="Z55" s="1" t="b">
        <f t="shared" si="2"/>
        <v>1</v>
      </c>
      <c r="AA55" s="1">
        <f>IF(Z55=TRUE,ROWS($Z$3:Z55),"")</f>
        <v>53</v>
      </c>
      <c r="AB55" s="1">
        <f>IFERROR(SMALL($AA$3:$AA$228,ROWS($AA$3:AA55)),"")</f>
        <v>53</v>
      </c>
      <c r="AC55" s="1" t="str">
        <f>IF(AB55&lt;&gt;"",INDEX($G$3:$I$228,MATCH($AB55,$AA$3:$AA$228,0),COLUMNS($AA$3:AA55)),"")</f>
        <v>Quickmart Otc</v>
      </c>
      <c r="AD55" s="1">
        <f>IF(AC55&lt;&gt;"",INDEX($G$3:$I$228,MATCH($AB55,$AA$3:$AA$228,0),COLUMNS($AA$3:AB55)),"")</f>
        <v>152754.04999999999</v>
      </c>
      <c r="AE55" s="1" t="str">
        <f>IF(AD55&lt;&gt;"",INDEX($G$3:$I$228,MATCH($AB55,$AA$3:$AA$228,0),COLUMNS($AA$3:AC55)),"")</f>
        <v>Nairobi</v>
      </c>
    </row>
    <row r="56" spans="1:31" x14ac:dyDescent="0.2">
      <c r="A56" s="2">
        <v>44747</v>
      </c>
      <c r="B56" s="1" t="s">
        <v>71</v>
      </c>
      <c r="C56" s="1" t="s">
        <v>3</v>
      </c>
      <c r="D56" s="1">
        <v>132649</v>
      </c>
      <c r="E56" s="3">
        <v>134323.56</v>
      </c>
      <c r="F56" s="1" t="s">
        <v>8</v>
      </c>
      <c r="G56" s="1" t="s">
        <v>150</v>
      </c>
      <c r="H56" s="3">
        <f>SUMIFS(Table1[Value],Table1[Outlets],G56)</f>
        <v>151720.34</v>
      </c>
      <c r="I56" s="1" t="str">
        <f>IFERROR(VLOOKUP(G56,Table1[[Outlets]:[Region]],2,0),"")</f>
        <v>Nyanza</v>
      </c>
      <c r="K56" s="1" t="b">
        <f t="shared" si="0"/>
        <v>0</v>
      </c>
      <c r="L56" s="1" t="str">
        <f>IF(K56=TRUE,ROWS($J$3:J56),"")</f>
        <v/>
      </c>
      <c r="M56" s="1" t="str">
        <f>IFERROR(SMALL($L$3:$L$228,ROWS($L$3:L56)),"")</f>
        <v/>
      </c>
      <c r="N56" s="1" t="str">
        <f>IF(M56&lt;&gt;"",INDEX($G$3:$I$228,MATCH($M56,$L$3:$L$228,0),COLUMNS($L$3:L56)),"")</f>
        <v/>
      </c>
      <c r="O56" s="3" t="str">
        <f>IF(N56&lt;&gt;"",INDEX($G$3:$I$228,MATCH($M56,$L$3:$L$228,0),COLUMNS($L$3:M56)),"")</f>
        <v/>
      </c>
      <c r="P56" s="1" t="str">
        <f>IF(O56&lt;&gt;"",INDEX($G$3:$I$228,MATCH($M56,$L$3:$L$228,0),COLUMNS($L$3:N56)),"")</f>
        <v/>
      </c>
      <c r="S56" s="1" t="b">
        <f t="shared" si="1"/>
        <v>0</v>
      </c>
      <c r="T56" s="1" t="str">
        <f>IF(S56=TRUE,ROWS($S$3:S56),"")</f>
        <v/>
      </c>
      <c r="U56" s="1" t="str">
        <f>IFERROR(SMALL($T$3:$T$228,ROWS($T$3:T56)),"")</f>
        <v/>
      </c>
      <c r="V56" s="1" t="str">
        <f>IF(U56&lt;&gt;"",INDEX($G$3:$I$228,MATCH($U56,$T$3:$T$228,0),COLUMNS($U$3:U56)),"")</f>
        <v/>
      </c>
      <c r="W56" s="1" t="str">
        <f>IF(V56&lt;&gt;"",INDEX($G$3:$I$228,MATCH($U56,$T$3:$T$228,0),COLUMNS($U$3:V56)),"")</f>
        <v/>
      </c>
      <c r="X56" s="1" t="str">
        <f>IF(W56&lt;&gt;"",INDEX($G$3:$I$228,MATCH($U56,$T$3:$T$228,0),COLUMNS($U$3:W56)),"")</f>
        <v/>
      </c>
      <c r="Z56" s="1" t="b">
        <f t="shared" si="2"/>
        <v>1</v>
      </c>
      <c r="AA56" s="1">
        <f>IF(Z56=TRUE,ROWS($Z$3:Z56),"")</f>
        <v>54</v>
      </c>
      <c r="AB56" s="1">
        <f>IFERROR(SMALL($AA$3:$AA$228,ROWS($AA$3:AA56)),"")</f>
        <v>54</v>
      </c>
      <c r="AC56" s="1" t="str">
        <f>IF(AB56&lt;&gt;"",INDEX($G$3:$I$228,MATCH($AB56,$AA$3:$AA$228,0),COLUMNS($AA$3:AA56)),"")</f>
        <v>Carrefour Kisumu United</v>
      </c>
      <c r="AD56" s="1">
        <f>IF(AC56&lt;&gt;"",INDEX($G$3:$I$228,MATCH($AB56,$AA$3:$AA$228,0),COLUMNS($AA$3:AB56)),"")</f>
        <v>151720.34</v>
      </c>
      <c r="AE56" s="1" t="str">
        <f>IF(AD56&lt;&gt;"",INDEX($G$3:$I$228,MATCH($AB56,$AA$3:$AA$228,0),COLUMNS($AA$3:AC56)),"")</f>
        <v>Nyanza</v>
      </c>
    </row>
    <row r="57" spans="1:31" x14ac:dyDescent="0.2">
      <c r="A57" s="2">
        <v>44747</v>
      </c>
      <c r="B57" s="1" t="s">
        <v>72</v>
      </c>
      <c r="C57" s="1" t="s">
        <v>3</v>
      </c>
      <c r="D57" s="1">
        <v>132654</v>
      </c>
      <c r="E57" s="3">
        <v>78275.48</v>
      </c>
      <c r="F57" s="1" t="s">
        <v>8</v>
      </c>
      <c r="G57" s="1" t="s">
        <v>102</v>
      </c>
      <c r="H57" s="3">
        <f>SUMIFS(Table1[Value],Table1[Outlets],G57)</f>
        <v>149314.51</v>
      </c>
      <c r="I57" s="1" t="str">
        <f>IFERROR(VLOOKUP(G57,Table1[[Outlets]:[Region]],2,0),"")</f>
        <v>Nairobi</v>
      </c>
      <c r="K57" s="1" t="b">
        <f t="shared" si="0"/>
        <v>0</v>
      </c>
      <c r="L57" s="1" t="str">
        <f>IF(K57=TRUE,ROWS($J$3:J57),"")</f>
        <v/>
      </c>
      <c r="M57" s="1" t="str">
        <f>IFERROR(SMALL($L$3:$L$228,ROWS($L$3:L57)),"")</f>
        <v/>
      </c>
      <c r="N57" s="1" t="str">
        <f>IF(M57&lt;&gt;"",INDEX($G$3:$I$228,MATCH($M57,$L$3:$L$228,0),COLUMNS($L$3:L57)),"")</f>
        <v/>
      </c>
      <c r="O57" s="3" t="str">
        <f>IF(N57&lt;&gt;"",INDEX($G$3:$I$228,MATCH($M57,$L$3:$L$228,0),COLUMNS($L$3:M57)),"")</f>
        <v/>
      </c>
      <c r="P57" s="1" t="str">
        <f>IF(O57&lt;&gt;"",INDEX($G$3:$I$228,MATCH($M57,$L$3:$L$228,0),COLUMNS($L$3:N57)),"")</f>
        <v/>
      </c>
      <c r="S57" s="1" t="b">
        <f t="shared" si="1"/>
        <v>0</v>
      </c>
      <c r="T57" s="1" t="str">
        <f>IF(S57=TRUE,ROWS($S$3:S57),"")</f>
        <v/>
      </c>
      <c r="U57" s="1" t="str">
        <f>IFERROR(SMALL($T$3:$T$228,ROWS($T$3:T57)),"")</f>
        <v/>
      </c>
      <c r="V57" s="1" t="str">
        <f>IF(U57&lt;&gt;"",INDEX($G$3:$I$228,MATCH($U57,$T$3:$T$228,0),COLUMNS($U$3:U57)),"")</f>
        <v/>
      </c>
      <c r="W57" s="1" t="str">
        <f>IF(V57&lt;&gt;"",INDEX($G$3:$I$228,MATCH($U57,$T$3:$T$228,0),COLUMNS($U$3:V57)),"")</f>
        <v/>
      </c>
      <c r="X57" s="1" t="str">
        <f>IF(W57&lt;&gt;"",INDEX($G$3:$I$228,MATCH($U57,$T$3:$T$228,0),COLUMNS($U$3:W57)),"")</f>
        <v/>
      </c>
      <c r="Z57" s="1" t="b">
        <f t="shared" si="2"/>
        <v>1</v>
      </c>
      <c r="AA57" s="1">
        <f>IF(Z57=TRUE,ROWS($Z$3:Z57),"")</f>
        <v>55</v>
      </c>
      <c r="AB57" s="1">
        <f>IFERROR(SMALL($AA$3:$AA$228,ROWS($AA$3:AA57)),"")</f>
        <v>55</v>
      </c>
      <c r="AC57" s="1" t="str">
        <f>IF(AB57&lt;&gt;"",INDEX($G$3:$I$228,MATCH($AB57,$AA$3:$AA$228,0),COLUMNS($AA$3:AA57)),"")</f>
        <v>Carrefour Kilimani</v>
      </c>
      <c r="AD57" s="1">
        <f>IF(AC57&lt;&gt;"",INDEX($G$3:$I$228,MATCH($AB57,$AA$3:$AA$228,0),COLUMNS($AA$3:AB57)),"")</f>
        <v>149314.51</v>
      </c>
      <c r="AE57" s="1" t="str">
        <f>IF(AD57&lt;&gt;"",INDEX($G$3:$I$228,MATCH($AB57,$AA$3:$AA$228,0),COLUMNS($AA$3:AC57)),"")</f>
        <v>Nairobi</v>
      </c>
    </row>
    <row r="58" spans="1:31" x14ac:dyDescent="0.2">
      <c r="A58" s="2">
        <v>44747</v>
      </c>
      <c r="B58" s="1" t="s">
        <v>73</v>
      </c>
      <c r="C58" s="1" t="s">
        <v>3</v>
      </c>
      <c r="D58" s="1">
        <v>132656</v>
      </c>
      <c r="E58" s="3">
        <v>31209.24</v>
      </c>
      <c r="F58" s="1" t="s">
        <v>13</v>
      </c>
      <c r="G58" s="1" t="s">
        <v>21</v>
      </c>
      <c r="H58" s="3">
        <f>SUMIFS(Table1[Value],Table1[Outlets],G58)</f>
        <v>145367.32</v>
      </c>
      <c r="I58" s="1" t="str">
        <f>IFERROR(VLOOKUP(G58,Table1[[Outlets]:[Region]],2,0),"")</f>
        <v>Nairobi</v>
      </c>
      <c r="K58" s="1" t="b">
        <f t="shared" si="0"/>
        <v>1</v>
      </c>
      <c r="L58" s="1">
        <f>IF(K58=TRUE,ROWS($J$3:J58),"")</f>
        <v>56</v>
      </c>
      <c r="M58" s="1" t="str">
        <f>IFERROR(SMALL($L$3:$L$228,ROWS($L$3:L58)),"")</f>
        <v/>
      </c>
      <c r="N58" s="1" t="str">
        <f>IF(M58&lt;&gt;"",INDEX($G$3:$I$228,MATCH($M58,$L$3:$L$228,0),COLUMNS($L$3:L58)),"")</f>
        <v/>
      </c>
      <c r="O58" s="3" t="str">
        <f>IF(N58&lt;&gt;"",INDEX($G$3:$I$228,MATCH($M58,$L$3:$L$228,0),COLUMNS($L$3:M58)),"")</f>
        <v/>
      </c>
      <c r="P58" s="1" t="str">
        <f>IF(O58&lt;&gt;"",INDEX($G$3:$I$228,MATCH($M58,$L$3:$L$228,0),COLUMNS($L$3:N58)),"")</f>
        <v/>
      </c>
      <c r="S58" s="1" t="b">
        <f t="shared" si="1"/>
        <v>0</v>
      </c>
      <c r="T58" s="1" t="str">
        <f>IF(S58=TRUE,ROWS($S$3:S58),"")</f>
        <v/>
      </c>
      <c r="U58" s="1" t="str">
        <f>IFERROR(SMALL($T$3:$T$228,ROWS($T$3:T58)),"")</f>
        <v/>
      </c>
      <c r="V58" s="1" t="str">
        <f>IF(U58&lt;&gt;"",INDEX($G$3:$I$228,MATCH($U58,$T$3:$T$228,0),COLUMNS($U$3:U58)),"")</f>
        <v/>
      </c>
      <c r="W58" s="1" t="str">
        <f>IF(V58&lt;&gt;"",INDEX($G$3:$I$228,MATCH($U58,$T$3:$T$228,0),COLUMNS($U$3:V58)),"")</f>
        <v/>
      </c>
      <c r="X58" s="1" t="str">
        <f>IF(W58&lt;&gt;"",INDEX($G$3:$I$228,MATCH($U58,$T$3:$T$228,0),COLUMNS($U$3:W58)),"")</f>
        <v/>
      </c>
      <c r="Z58" s="1" t="b">
        <f t="shared" si="2"/>
        <v>1</v>
      </c>
      <c r="AA58" s="1">
        <f>IF(Z58=TRUE,ROWS($Z$3:Z58),"")</f>
        <v>56</v>
      </c>
      <c r="AB58" s="1">
        <f>IFERROR(SMALL($AA$3:$AA$228,ROWS($AA$3:AA58)),"")</f>
        <v>56</v>
      </c>
      <c r="AC58" s="1" t="str">
        <f>IF(AB58&lt;&gt;"",INDEX($G$3:$I$228,MATCH($AB58,$AA$3:$AA$228,0),COLUMNS($AA$3:AA58)),"")</f>
        <v>Chandarana Riverside</v>
      </c>
      <c r="AD58" s="1">
        <f>IF(AC58&lt;&gt;"",INDEX($G$3:$I$228,MATCH($AB58,$AA$3:$AA$228,0),COLUMNS($AA$3:AB58)),"")</f>
        <v>145367.32</v>
      </c>
      <c r="AE58" s="1" t="str">
        <f>IF(AD58&lt;&gt;"",INDEX($G$3:$I$228,MATCH($AB58,$AA$3:$AA$228,0),COLUMNS($AA$3:AC58)),"")</f>
        <v>Nairobi</v>
      </c>
    </row>
    <row r="59" spans="1:31" x14ac:dyDescent="0.2">
      <c r="A59" s="2">
        <v>44747</v>
      </c>
      <c r="B59" s="1" t="s">
        <v>74</v>
      </c>
      <c r="C59" s="1" t="s">
        <v>3</v>
      </c>
      <c r="D59" s="1">
        <v>132657</v>
      </c>
      <c r="E59" s="3">
        <v>12935.52</v>
      </c>
      <c r="F59" s="1" t="s">
        <v>13</v>
      </c>
      <c r="G59" s="1" t="s">
        <v>163</v>
      </c>
      <c r="H59" s="3">
        <f>SUMIFS(Table1[Value],Table1[Outlets],G59)</f>
        <v>139691.01</v>
      </c>
      <c r="I59" s="1" t="str">
        <f>IFERROR(VLOOKUP(G59,Table1[[Outlets]:[Region]],2,0),"")</f>
        <v>Nairobi</v>
      </c>
      <c r="K59" s="1" t="b">
        <f t="shared" si="0"/>
        <v>0</v>
      </c>
      <c r="L59" s="1" t="str">
        <f>IF(K59=TRUE,ROWS($J$3:J59),"")</f>
        <v/>
      </c>
      <c r="M59" s="1" t="str">
        <f>IFERROR(SMALL($L$3:$L$228,ROWS($L$3:L59)),"")</f>
        <v/>
      </c>
      <c r="N59" s="1" t="str">
        <f>IF(M59&lt;&gt;"",INDEX($G$3:$I$228,MATCH($M59,$L$3:$L$228,0),COLUMNS($L$3:L59)),"")</f>
        <v/>
      </c>
      <c r="O59" s="3" t="str">
        <f>IF(N59&lt;&gt;"",INDEX($G$3:$I$228,MATCH($M59,$L$3:$L$228,0),COLUMNS($L$3:M59)),"")</f>
        <v/>
      </c>
      <c r="P59" s="1" t="str">
        <f>IF(O59&lt;&gt;"",INDEX($G$3:$I$228,MATCH($M59,$L$3:$L$228,0),COLUMNS($L$3:N59)),"")</f>
        <v/>
      </c>
      <c r="S59" s="1" t="b">
        <f t="shared" si="1"/>
        <v>0</v>
      </c>
      <c r="T59" s="1" t="str">
        <f>IF(S59=TRUE,ROWS($S$3:S59),"")</f>
        <v/>
      </c>
      <c r="U59" s="1" t="str">
        <f>IFERROR(SMALL($T$3:$T$228,ROWS($T$3:T59)),"")</f>
        <v/>
      </c>
      <c r="V59" s="1" t="str">
        <f>IF(U59&lt;&gt;"",INDEX($G$3:$I$228,MATCH($U59,$T$3:$T$228,0),COLUMNS($U$3:U59)),"")</f>
        <v/>
      </c>
      <c r="W59" s="1" t="str">
        <f>IF(V59&lt;&gt;"",INDEX($G$3:$I$228,MATCH($U59,$T$3:$T$228,0),COLUMNS($U$3:V59)),"")</f>
        <v/>
      </c>
      <c r="X59" s="1" t="str">
        <f>IF(W59&lt;&gt;"",INDEX($G$3:$I$228,MATCH($U59,$T$3:$T$228,0),COLUMNS($U$3:W59)),"")</f>
        <v/>
      </c>
      <c r="Z59" s="1" t="b">
        <f t="shared" si="2"/>
        <v>1</v>
      </c>
      <c r="AA59" s="1">
        <f>IF(Z59=TRUE,ROWS($Z$3:Z59),"")</f>
        <v>57</v>
      </c>
      <c r="AB59" s="1">
        <f>IFERROR(SMALL($AA$3:$AA$228,ROWS($AA$3:AA59)),"")</f>
        <v>57</v>
      </c>
      <c r="AC59" s="1" t="str">
        <f>IF(AB59&lt;&gt;"",INDEX($G$3:$I$228,MATCH($AB59,$AA$3:$AA$228,0),COLUMNS($AA$3:AA59)),"")</f>
        <v>Quickmart Kilimani</v>
      </c>
      <c r="AD59" s="1">
        <f>IF(AC59&lt;&gt;"",INDEX($G$3:$I$228,MATCH($AB59,$AA$3:$AA$228,0),COLUMNS($AA$3:AB59)),"")</f>
        <v>139691.01</v>
      </c>
      <c r="AE59" s="1" t="str">
        <f>IF(AD59&lt;&gt;"",INDEX($G$3:$I$228,MATCH($AB59,$AA$3:$AA$228,0),COLUMNS($AA$3:AC59)),"")</f>
        <v>Nairobi</v>
      </c>
    </row>
    <row r="60" spans="1:31" x14ac:dyDescent="0.2">
      <c r="A60" s="2">
        <v>44747</v>
      </c>
      <c r="B60" s="1" t="s">
        <v>75</v>
      </c>
      <c r="C60" s="1" t="s">
        <v>249</v>
      </c>
      <c r="D60" s="1">
        <v>132658</v>
      </c>
      <c r="E60" s="3">
        <v>23639.18</v>
      </c>
      <c r="F60" s="1" t="s">
        <v>8</v>
      </c>
      <c r="G60" s="1" t="s">
        <v>89</v>
      </c>
      <c r="H60" s="3">
        <f>SUMIFS(Table1[Value],Table1[Outlets],G60)</f>
        <v>138497.26</v>
      </c>
      <c r="I60" s="1" t="str">
        <f>IFERROR(VLOOKUP(G60,Table1[[Outlets]:[Region]],2,0),"")</f>
        <v>Nairobi</v>
      </c>
      <c r="K60" s="1" t="b">
        <f t="shared" si="0"/>
        <v>0</v>
      </c>
      <c r="L60" s="1" t="str">
        <f>IF(K60=TRUE,ROWS($J$3:J60),"")</f>
        <v/>
      </c>
      <c r="M60" s="1" t="str">
        <f>IFERROR(SMALL($L$3:$L$228,ROWS($L$3:L60)),"")</f>
        <v/>
      </c>
      <c r="N60" s="1" t="str">
        <f>IF(M60&lt;&gt;"",INDEX($G$3:$I$228,MATCH($M60,$L$3:$L$228,0),COLUMNS($L$3:L60)),"")</f>
        <v/>
      </c>
      <c r="O60" s="3" t="str">
        <f>IF(N60&lt;&gt;"",INDEX($G$3:$I$228,MATCH($M60,$L$3:$L$228,0),COLUMNS($L$3:M60)),"")</f>
        <v/>
      </c>
      <c r="P60" s="1" t="str">
        <f>IF(O60&lt;&gt;"",INDEX($G$3:$I$228,MATCH($M60,$L$3:$L$228,0),COLUMNS($L$3:N60)),"")</f>
        <v/>
      </c>
      <c r="S60" s="1" t="b">
        <f t="shared" si="1"/>
        <v>0</v>
      </c>
      <c r="T60" s="1" t="str">
        <f>IF(S60=TRUE,ROWS($S$3:S60),"")</f>
        <v/>
      </c>
      <c r="U60" s="1" t="str">
        <f>IFERROR(SMALL($T$3:$T$228,ROWS($T$3:T60)),"")</f>
        <v/>
      </c>
      <c r="V60" s="1" t="str">
        <f>IF(U60&lt;&gt;"",INDEX($G$3:$I$228,MATCH($U60,$T$3:$T$228,0),COLUMNS($U$3:U60)),"")</f>
        <v/>
      </c>
      <c r="W60" s="1" t="str">
        <f>IF(V60&lt;&gt;"",INDEX($G$3:$I$228,MATCH($U60,$T$3:$T$228,0),COLUMNS($U$3:V60)),"")</f>
        <v/>
      </c>
      <c r="X60" s="1" t="str">
        <f>IF(W60&lt;&gt;"",INDEX($G$3:$I$228,MATCH($U60,$T$3:$T$228,0),COLUMNS($U$3:W60)),"")</f>
        <v/>
      </c>
      <c r="Z60" s="1" t="b">
        <f t="shared" si="2"/>
        <v>1</v>
      </c>
      <c r="AA60" s="1">
        <f>IF(Z60=TRUE,ROWS($Z$3:Z60),"")</f>
        <v>58</v>
      </c>
      <c r="AB60" s="1">
        <f>IFERROR(SMALL($AA$3:$AA$228,ROWS($AA$3:AA60)),"")</f>
        <v>58</v>
      </c>
      <c r="AC60" s="1" t="str">
        <f>IF(AB60&lt;&gt;"",INDEX($G$3:$I$228,MATCH($AB60,$AA$3:$AA$228,0),COLUMNS($AA$3:AA60)),"")</f>
        <v>Naivas Moi Avenue</v>
      </c>
      <c r="AD60" s="1">
        <f>IF(AC60&lt;&gt;"",INDEX($G$3:$I$228,MATCH($AB60,$AA$3:$AA$228,0),COLUMNS($AA$3:AB60)),"")</f>
        <v>138497.26</v>
      </c>
      <c r="AE60" s="1" t="str">
        <f>IF(AD60&lt;&gt;"",INDEX($G$3:$I$228,MATCH($AB60,$AA$3:$AA$228,0),COLUMNS($AA$3:AC60)),"")</f>
        <v>Nairobi</v>
      </c>
    </row>
    <row r="61" spans="1:31" x14ac:dyDescent="0.2">
      <c r="A61" s="2">
        <v>44747</v>
      </c>
      <c r="B61" s="1" t="s">
        <v>76</v>
      </c>
      <c r="C61" s="1" t="s">
        <v>249</v>
      </c>
      <c r="D61" s="1">
        <v>132659</v>
      </c>
      <c r="E61" s="3">
        <v>75103.95</v>
      </c>
      <c r="F61" s="1" t="s">
        <v>8</v>
      </c>
      <c r="G61" s="1" t="s">
        <v>38</v>
      </c>
      <c r="H61" s="3">
        <f>SUMIFS(Table1[Value],Table1[Outlets],G61)</f>
        <v>136823.25</v>
      </c>
      <c r="I61" s="1" t="str">
        <f>IFERROR(VLOOKUP(G61,Table1[[Outlets]:[Region]],2,0),"")</f>
        <v>Nairobi</v>
      </c>
      <c r="K61" s="1" t="b">
        <f t="shared" si="0"/>
        <v>1</v>
      </c>
      <c r="L61" s="1">
        <f>IF(K61=TRUE,ROWS($J$3:J61),"")</f>
        <v>59</v>
      </c>
      <c r="M61" s="1" t="str">
        <f>IFERROR(SMALL($L$3:$L$228,ROWS($L$3:L61)),"")</f>
        <v/>
      </c>
      <c r="N61" s="1" t="str">
        <f>IF(M61&lt;&gt;"",INDEX($G$3:$I$228,MATCH($M61,$L$3:$L$228,0),COLUMNS($L$3:L61)),"")</f>
        <v/>
      </c>
      <c r="O61" s="3" t="str">
        <f>IF(N61&lt;&gt;"",INDEX($G$3:$I$228,MATCH($M61,$L$3:$L$228,0),COLUMNS($L$3:M61)),"")</f>
        <v/>
      </c>
      <c r="P61" s="1" t="str">
        <f>IF(O61&lt;&gt;"",INDEX($G$3:$I$228,MATCH($M61,$L$3:$L$228,0),COLUMNS($L$3:N61)),"")</f>
        <v/>
      </c>
      <c r="S61" s="1" t="b">
        <f t="shared" si="1"/>
        <v>0</v>
      </c>
      <c r="T61" s="1" t="str">
        <f>IF(S61=TRUE,ROWS($S$3:S61),"")</f>
        <v/>
      </c>
      <c r="U61" s="1" t="str">
        <f>IFERROR(SMALL($T$3:$T$228,ROWS($T$3:T61)),"")</f>
        <v/>
      </c>
      <c r="V61" s="1" t="str">
        <f>IF(U61&lt;&gt;"",INDEX($G$3:$I$228,MATCH($U61,$T$3:$T$228,0),COLUMNS($U$3:U61)),"")</f>
        <v/>
      </c>
      <c r="W61" s="1" t="str">
        <f>IF(V61&lt;&gt;"",INDEX($G$3:$I$228,MATCH($U61,$T$3:$T$228,0),COLUMNS($U$3:V61)),"")</f>
        <v/>
      </c>
      <c r="X61" s="1" t="str">
        <f>IF(W61&lt;&gt;"",INDEX($G$3:$I$228,MATCH($U61,$T$3:$T$228,0),COLUMNS($U$3:W61)),"")</f>
        <v/>
      </c>
      <c r="Z61" s="1" t="b">
        <f t="shared" si="2"/>
        <v>1</v>
      </c>
      <c r="AA61" s="1">
        <f>IF(Z61=TRUE,ROWS($Z$3:Z61),"")</f>
        <v>59</v>
      </c>
      <c r="AB61" s="1">
        <f>IFERROR(SMALL($AA$3:$AA$228,ROWS($AA$3:AA61)),"")</f>
        <v>59</v>
      </c>
      <c r="AC61" s="1" t="str">
        <f>IF(AB61&lt;&gt;"",INDEX($G$3:$I$228,MATCH($AB61,$AA$3:$AA$228,0),COLUMNS($AA$3:AA61)),"")</f>
        <v>Chandarana New Muthaiga</v>
      </c>
      <c r="AD61" s="1">
        <f>IF(AC61&lt;&gt;"",INDEX($G$3:$I$228,MATCH($AB61,$AA$3:$AA$228,0),COLUMNS($AA$3:AB61)),"")</f>
        <v>136823.25</v>
      </c>
      <c r="AE61" s="1" t="str">
        <f>IF(AD61&lt;&gt;"",INDEX($G$3:$I$228,MATCH($AB61,$AA$3:$AA$228,0),COLUMNS($AA$3:AC61)),"")</f>
        <v>Nairobi</v>
      </c>
    </row>
    <row r="62" spans="1:31" x14ac:dyDescent="0.2">
      <c r="A62" s="2">
        <v>44747</v>
      </c>
      <c r="B62" s="1" t="s">
        <v>77</v>
      </c>
      <c r="C62" s="1" t="s">
        <v>3</v>
      </c>
      <c r="D62" s="1">
        <v>132660</v>
      </c>
      <c r="E62" s="3">
        <v>9872.84</v>
      </c>
      <c r="F62" s="1" t="s">
        <v>11</v>
      </c>
      <c r="G62" s="1" t="s">
        <v>147</v>
      </c>
      <c r="H62" s="3">
        <f>SUMIFS(Table1[Value],Table1[Outlets],G62)</f>
        <v>136008.06</v>
      </c>
      <c r="I62" s="1" t="str">
        <f>IFERROR(VLOOKUP(G62,Table1[[Outlets]:[Region]],2,0),"")</f>
        <v>Rift valley</v>
      </c>
      <c r="K62" s="1" t="b">
        <f t="shared" si="0"/>
        <v>0</v>
      </c>
      <c r="L62" s="1" t="str">
        <f>IF(K62=TRUE,ROWS($J$3:J62),"")</f>
        <v/>
      </c>
      <c r="M62" s="1" t="str">
        <f>IFERROR(SMALL($L$3:$L$228,ROWS($L$3:L62)),"")</f>
        <v/>
      </c>
      <c r="N62" s="1" t="str">
        <f>IF(M62&lt;&gt;"",INDEX($G$3:$I$228,MATCH($M62,$L$3:$L$228,0),COLUMNS($L$3:L62)),"")</f>
        <v/>
      </c>
      <c r="O62" s="3" t="str">
        <f>IF(N62&lt;&gt;"",INDEX($G$3:$I$228,MATCH($M62,$L$3:$L$228,0),COLUMNS($L$3:M62)),"")</f>
        <v/>
      </c>
      <c r="P62" s="1" t="str">
        <f>IF(O62&lt;&gt;"",INDEX($G$3:$I$228,MATCH($M62,$L$3:$L$228,0),COLUMNS($L$3:N62)),"")</f>
        <v/>
      </c>
      <c r="S62" s="1" t="b">
        <f t="shared" si="1"/>
        <v>0</v>
      </c>
      <c r="T62" s="1" t="str">
        <f>IF(S62=TRUE,ROWS($S$3:S62),"")</f>
        <v/>
      </c>
      <c r="U62" s="1" t="str">
        <f>IFERROR(SMALL($T$3:$T$228,ROWS($T$3:T62)),"")</f>
        <v/>
      </c>
      <c r="V62" s="1" t="str">
        <f>IF(U62&lt;&gt;"",INDEX($G$3:$I$228,MATCH($U62,$T$3:$T$228,0),COLUMNS($U$3:U62)),"")</f>
        <v/>
      </c>
      <c r="W62" s="1" t="str">
        <f>IF(V62&lt;&gt;"",INDEX($G$3:$I$228,MATCH($U62,$T$3:$T$228,0),COLUMNS($U$3:V62)),"")</f>
        <v/>
      </c>
      <c r="X62" s="1" t="str">
        <f>IF(W62&lt;&gt;"",INDEX($G$3:$I$228,MATCH($U62,$T$3:$T$228,0),COLUMNS($U$3:W62)),"")</f>
        <v/>
      </c>
      <c r="Z62" s="1" t="b">
        <f t="shared" si="2"/>
        <v>1</v>
      </c>
      <c r="AA62" s="1">
        <f>IF(Z62=TRUE,ROWS($Z$3:Z62),"")</f>
        <v>60</v>
      </c>
      <c r="AB62" s="1">
        <f>IFERROR(SMALL($AA$3:$AA$228,ROWS($AA$3:AA62)),"")</f>
        <v>60</v>
      </c>
      <c r="AC62" s="1" t="str">
        <f>IF(AB62&lt;&gt;"",INDEX($G$3:$I$228,MATCH($AB62,$AA$3:$AA$228,0),COLUMNS($AA$3:AA62)),"")</f>
        <v>Naivas Nakuru Super C</v>
      </c>
      <c r="AD62" s="1">
        <f>IF(AC62&lt;&gt;"",INDEX($G$3:$I$228,MATCH($AB62,$AA$3:$AA$228,0),COLUMNS($AA$3:AB62)),"")</f>
        <v>136008.06</v>
      </c>
      <c r="AE62" s="1" t="str">
        <f>IF(AD62&lt;&gt;"",INDEX($G$3:$I$228,MATCH($AB62,$AA$3:$AA$228,0),COLUMNS($AA$3:AC62)),"")</f>
        <v>Rift valley</v>
      </c>
    </row>
    <row r="63" spans="1:31" x14ac:dyDescent="0.2">
      <c r="A63" s="2">
        <v>44747</v>
      </c>
      <c r="B63" s="1" t="s">
        <v>78</v>
      </c>
      <c r="C63" s="1" t="s">
        <v>3</v>
      </c>
      <c r="D63" s="1">
        <v>132661</v>
      </c>
      <c r="E63" s="3">
        <v>28384.28</v>
      </c>
      <c r="F63" s="1" t="s">
        <v>11</v>
      </c>
      <c r="G63" s="1" t="s">
        <v>101</v>
      </c>
      <c r="H63" s="3">
        <f>SUMIFS(Table1[Value],Table1[Outlets],G63)</f>
        <v>131937.93</v>
      </c>
      <c r="I63" s="1" t="str">
        <f>IFERROR(VLOOKUP(G63,Table1[[Outlets]:[Region]],2,0),"")</f>
        <v>Nairobi</v>
      </c>
      <c r="K63" s="1" t="b">
        <f t="shared" si="0"/>
        <v>0</v>
      </c>
      <c r="L63" s="1" t="str">
        <f>IF(K63=TRUE,ROWS($J$3:J63),"")</f>
        <v/>
      </c>
      <c r="M63" s="1" t="str">
        <f>IFERROR(SMALL($L$3:$L$228,ROWS($L$3:L63)),"")</f>
        <v/>
      </c>
      <c r="N63" s="1" t="str">
        <f>IF(M63&lt;&gt;"",INDEX($G$3:$I$228,MATCH($M63,$L$3:$L$228,0),COLUMNS($L$3:L63)),"")</f>
        <v/>
      </c>
      <c r="O63" s="3" t="str">
        <f>IF(N63&lt;&gt;"",INDEX($G$3:$I$228,MATCH($M63,$L$3:$L$228,0),COLUMNS($L$3:M63)),"")</f>
        <v/>
      </c>
      <c r="P63" s="1" t="str">
        <f>IF(O63&lt;&gt;"",INDEX($G$3:$I$228,MATCH($M63,$L$3:$L$228,0),COLUMNS($L$3:N63)),"")</f>
        <v/>
      </c>
      <c r="S63" s="1" t="b">
        <f t="shared" si="1"/>
        <v>0</v>
      </c>
      <c r="T63" s="1" t="str">
        <f>IF(S63=TRUE,ROWS($S$3:S63),"")</f>
        <v/>
      </c>
      <c r="U63" s="1" t="str">
        <f>IFERROR(SMALL($T$3:$T$228,ROWS($T$3:T63)),"")</f>
        <v/>
      </c>
      <c r="V63" s="1" t="str">
        <f>IF(U63&lt;&gt;"",INDEX($G$3:$I$228,MATCH($U63,$T$3:$T$228,0),COLUMNS($U$3:U63)),"")</f>
        <v/>
      </c>
      <c r="W63" s="1" t="str">
        <f>IF(V63&lt;&gt;"",INDEX($G$3:$I$228,MATCH($U63,$T$3:$T$228,0),COLUMNS($U$3:V63)),"")</f>
        <v/>
      </c>
      <c r="X63" s="1" t="str">
        <f>IF(W63&lt;&gt;"",INDEX($G$3:$I$228,MATCH($U63,$T$3:$T$228,0),COLUMNS($U$3:W63)),"")</f>
        <v/>
      </c>
      <c r="Z63" s="1" t="b">
        <f t="shared" si="2"/>
        <v>1</v>
      </c>
      <c r="AA63" s="1">
        <f>IF(Z63=TRUE,ROWS($Z$3:Z63),"")</f>
        <v>61</v>
      </c>
      <c r="AB63" s="1">
        <f>IFERROR(SMALL($AA$3:$AA$228,ROWS($AA$3:AA63)),"")</f>
        <v>61</v>
      </c>
      <c r="AC63" s="1" t="str">
        <f>IF(AB63&lt;&gt;"",INDEX($G$3:$I$228,MATCH($AB63,$AA$3:$AA$228,0),COLUMNS($AA$3:AA63)),"")</f>
        <v>Quickmart Kiambu Rd</v>
      </c>
      <c r="AD63" s="1">
        <f>IF(AC63&lt;&gt;"",INDEX($G$3:$I$228,MATCH($AB63,$AA$3:$AA$228,0),COLUMNS($AA$3:AB63)),"")</f>
        <v>131937.93</v>
      </c>
      <c r="AE63" s="1" t="str">
        <f>IF(AD63&lt;&gt;"",INDEX($G$3:$I$228,MATCH($AB63,$AA$3:$AA$228,0),COLUMNS($AA$3:AC63)),"")</f>
        <v>Nairobi</v>
      </c>
    </row>
    <row r="64" spans="1:31" x14ac:dyDescent="0.2">
      <c r="A64" s="2">
        <v>44747</v>
      </c>
      <c r="B64" s="1" t="s">
        <v>79</v>
      </c>
      <c r="C64" s="1" t="s">
        <v>3</v>
      </c>
      <c r="D64" s="1">
        <v>132662</v>
      </c>
      <c r="E64" s="3">
        <v>34357.5</v>
      </c>
      <c r="F64" s="1" t="s">
        <v>11</v>
      </c>
      <c r="G64" s="1" t="s">
        <v>181</v>
      </c>
      <c r="H64" s="3">
        <f>SUMIFS(Table1[Value],Table1[Outlets],G64)</f>
        <v>131810.42000000001</v>
      </c>
      <c r="I64" s="1" t="str">
        <f>IFERROR(VLOOKUP(G64,Table1[[Outlets]:[Region]],2,0),"")</f>
        <v>Rift valley</v>
      </c>
      <c r="K64" s="1" t="b">
        <f t="shared" si="0"/>
        <v>0</v>
      </c>
      <c r="L64" s="1" t="str">
        <f>IF(K64=TRUE,ROWS($J$3:J64),"")</f>
        <v/>
      </c>
      <c r="M64" s="1" t="str">
        <f>IFERROR(SMALL($L$3:$L$228,ROWS($L$3:L64)),"")</f>
        <v/>
      </c>
      <c r="N64" s="1" t="str">
        <f>IF(M64&lt;&gt;"",INDEX($G$3:$I$228,MATCH($M64,$L$3:$L$228,0),COLUMNS($L$3:L64)),"")</f>
        <v/>
      </c>
      <c r="O64" s="3" t="str">
        <f>IF(N64&lt;&gt;"",INDEX($G$3:$I$228,MATCH($M64,$L$3:$L$228,0),COLUMNS($L$3:M64)),"")</f>
        <v/>
      </c>
      <c r="P64" s="1" t="str">
        <f>IF(O64&lt;&gt;"",INDEX($G$3:$I$228,MATCH($M64,$L$3:$L$228,0),COLUMNS($L$3:N64)),"")</f>
        <v/>
      </c>
      <c r="S64" s="1" t="b">
        <f t="shared" si="1"/>
        <v>0</v>
      </c>
      <c r="T64" s="1" t="str">
        <f>IF(S64=TRUE,ROWS($S$3:S64),"")</f>
        <v/>
      </c>
      <c r="U64" s="1" t="str">
        <f>IFERROR(SMALL($T$3:$T$228,ROWS($T$3:T64)),"")</f>
        <v/>
      </c>
      <c r="V64" s="1" t="str">
        <f>IF(U64&lt;&gt;"",INDEX($G$3:$I$228,MATCH($U64,$T$3:$T$228,0),COLUMNS($U$3:U64)),"")</f>
        <v/>
      </c>
      <c r="W64" s="1" t="str">
        <f>IF(V64&lt;&gt;"",INDEX($G$3:$I$228,MATCH($U64,$T$3:$T$228,0),COLUMNS($U$3:V64)),"")</f>
        <v/>
      </c>
      <c r="X64" s="1" t="str">
        <f>IF(W64&lt;&gt;"",INDEX($G$3:$I$228,MATCH($U64,$T$3:$T$228,0),COLUMNS($U$3:W64)),"")</f>
        <v/>
      </c>
      <c r="Z64" s="1" t="b">
        <f t="shared" si="2"/>
        <v>1</v>
      </c>
      <c r="AA64" s="1">
        <f>IF(Z64=TRUE,ROWS($Z$3:Z64),"")</f>
        <v>62</v>
      </c>
      <c r="AB64" s="1">
        <f>IFERROR(SMALL($AA$3:$AA$228,ROWS($AA$3:AA64)),"")</f>
        <v>62</v>
      </c>
      <c r="AC64" s="1" t="str">
        <f>IF(AB64&lt;&gt;"",INDEX($G$3:$I$228,MATCH($AB64,$AA$3:$AA$228,0),COLUMNS($AA$3:AA64)),"")</f>
        <v>Naivas Eld Referal</v>
      </c>
      <c r="AD64" s="1">
        <f>IF(AC64&lt;&gt;"",INDEX($G$3:$I$228,MATCH($AB64,$AA$3:$AA$228,0),COLUMNS($AA$3:AB64)),"")</f>
        <v>131810.42000000001</v>
      </c>
      <c r="AE64" s="1" t="str">
        <f>IF(AD64&lt;&gt;"",INDEX($G$3:$I$228,MATCH($AB64,$AA$3:$AA$228,0),COLUMNS($AA$3:AC64)),"")</f>
        <v>Rift valley</v>
      </c>
    </row>
    <row r="65" spans="1:31" x14ac:dyDescent="0.2">
      <c r="A65" s="2">
        <v>44747</v>
      </c>
      <c r="B65" s="1" t="s">
        <v>80</v>
      </c>
      <c r="C65" s="1" t="s">
        <v>3</v>
      </c>
      <c r="D65" s="1">
        <v>132663</v>
      </c>
      <c r="E65" s="3">
        <v>42356.9</v>
      </c>
      <c r="F65" s="1" t="s">
        <v>11</v>
      </c>
      <c r="G65" s="1" t="s">
        <v>140</v>
      </c>
      <c r="H65" s="3">
        <f>SUMIFS(Table1[Value],Table1[Outlets],G65)</f>
        <v>124797.78</v>
      </c>
      <c r="I65" s="1" t="str">
        <f>IFERROR(VLOOKUP(G65,Table1[[Outlets]:[Region]],2,0),"")</f>
        <v>Nairobi</v>
      </c>
      <c r="K65" s="1" t="b">
        <f t="shared" si="0"/>
        <v>0</v>
      </c>
      <c r="L65" s="1" t="str">
        <f>IF(K65=TRUE,ROWS($J$3:J65),"")</f>
        <v/>
      </c>
      <c r="M65" s="1" t="str">
        <f>IFERROR(SMALL($L$3:$L$228,ROWS($L$3:L65)),"")</f>
        <v/>
      </c>
      <c r="N65" s="1" t="str">
        <f>IF(M65&lt;&gt;"",INDEX($G$3:$I$228,MATCH($M65,$L$3:$L$228,0),COLUMNS($L$3:L65)),"")</f>
        <v/>
      </c>
      <c r="O65" s="3" t="str">
        <f>IF(N65&lt;&gt;"",INDEX($G$3:$I$228,MATCH($M65,$L$3:$L$228,0),COLUMNS($L$3:M65)),"")</f>
        <v/>
      </c>
      <c r="P65" s="1" t="str">
        <f>IF(O65&lt;&gt;"",INDEX($G$3:$I$228,MATCH($M65,$L$3:$L$228,0),COLUMNS($L$3:N65)),"")</f>
        <v/>
      </c>
      <c r="S65" s="1" t="b">
        <f t="shared" si="1"/>
        <v>0</v>
      </c>
      <c r="T65" s="1" t="str">
        <f>IF(S65=TRUE,ROWS($S$3:S65),"")</f>
        <v/>
      </c>
      <c r="U65" s="1" t="str">
        <f>IFERROR(SMALL($T$3:$T$228,ROWS($T$3:T65)),"")</f>
        <v/>
      </c>
      <c r="V65" s="1" t="str">
        <f>IF(U65&lt;&gt;"",INDEX($G$3:$I$228,MATCH($U65,$T$3:$T$228,0),COLUMNS($U$3:U65)),"")</f>
        <v/>
      </c>
      <c r="W65" s="1" t="str">
        <f>IF(V65&lt;&gt;"",INDEX($G$3:$I$228,MATCH($U65,$T$3:$T$228,0),COLUMNS($U$3:V65)),"")</f>
        <v/>
      </c>
      <c r="X65" s="1" t="str">
        <f>IF(W65&lt;&gt;"",INDEX($G$3:$I$228,MATCH($U65,$T$3:$T$228,0),COLUMNS($U$3:W65)),"")</f>
        <v/>
      </c>
      <c r="Z65" s="1" t="b">
        <f t="shared" si="2"/>
        <v>1</v>
      </c>
      <c r="AA65" s="1">
        <f>IF(Z65=TRUE,ROWS($Z$3:Z65),"")</f>
        <v>63</v>
      </c>
      <c r="AB65" s="1">
        <f>IFERROR(SMALL($AA$3:$AA$228,ROWS($AA$3:AA65)),"")</f>
        <v>63</v>
      </c>
      <c r="AC65" s="1" t="str">
        <f>IF(AB65&lt;&gt;"",INDEX($G$3:$I$228,MATCH($AB65,$AA$3:$AA$228,0),COLUMNS($AA$3:AA65)),"")</f>
        <v>Carrefour Southfield</v>
      </c>
      <c r="AD65" s="1">
        <f>IF(AC65&lt;&gt;"",INDEX($G$3:$I$228,MATCH($AB65,$AA$3:$AA$228,0),COLUMNS($AA$3:AB65)),"")</f>
        <v>124797.78</v>
      </c>
      <c r="AE65" s="1" t="str">
        <f>IF(AD65&lt;&gt;"",INDEX($G$3:$I$228,MATCH($AB65,$AA$3:$AA$228,0),COLUMNS($AA$3:AC65)),"")</f>
        <v>Nairobi</v>
      </c>
    </row>
    <row r="66" spans="1:31" x14ac:dyDescent="0.2">
      <c r="A66" s="2">
        <v>44747</v>
      </c>
      <c r="B66" s="1" t="s">
        <v>81</v>
      </c>
      <c r="C66" s="1" t="s">
        <v>3</v>
      </c>
      <c r="D66" s="1">
        <v>132664</v>
      </c>
      <c r="E66" s="3">
        <v>22806.2</v>
      </c>
      <c r="F66" s="1" t="s">
        <v>11</v>
      </c>
      <c r="G66" s="1" t="s">
        <v>110</v>
      </c>
      <c r="H66" s="3">
        <f>SUMIFS(Table1[Value],Table1[Outlets],G66)</f>
        <v>124142.95</v>
      </c>
      <c r="I66" s="1" t="str">
        <f>IFERROR(VLOOKUP(G66,Table1[[Outlets]:[Region]],2,0),"")</f>
        <v>Rift valley</v>
      </c>
      <c r="K66" s="1" t="b">
        <f t="shared" si="0"/>
        <v>0</v>
      </c>
      <c r="L66" s="1" t="str">
        <f>IF(K66=TRUE,ROWS($J$3:J66),"")</f>
        <v/>
      </c>
      <c r="M66" s="1" t="str">
        <f>IFERROR(SMALL($L$3:$L$228,ROWS($L$3:L66)),"")</f>
        <v/>
      </c>
      <c r="N66" s="1" t="str">
        <f>IF(M66&lt;&gt;"",INDEX($G$3:$I$228,MATCH($M66,$L$3:$L$228,0),COLUMNS($L$3:L66)),"")</f>
        <v/>
      </c>
      <c r="O66" s="3" t="str">
        <f>IF(N66&lt;&gt;"",INDEX($G$3:$I$228,MATCH($M66,$L$3:$L$228,0),COLUMNS($L$3:M66)),"")</f>
        <v/>
      </c>
      <c r="P66" s="1" t="str">
        <f>IF(O66&lt;&gt;"",INDEX($G$3:$I$228,MATCH($M66,$L$3:$L$228,0),COLUMNS($L$3:N66)),"")</f>
        <v/>
      </c>
      <c r="S66" s="1" t="b">
        <f t="shared" si="1"/>
        <v>0</v>
      </c>
      <c r="T66" s="1" t="str">
        <f>IF(S66=TRUE,ROWS($S$3:S66),"")</f>
        <v/>
      </c>
      <c r="U66" s="1" t="str">
        <f>IFERROR(SMALL($T$3:$T$228,ROWS($T$3:T66)),"")</f>
        <v/>
      </c>
      <c r="V66" s="1" t="str">
        <f>IF(U66&lt;&gt;"",INDEX($G$3:$I$228,MATCH($U66,$T$3:$T$228,0),COLUMNS($U$3:U66)),"")</f>
        <v/>
      </c>
      <c r="W66" s="1" t="str">
        <f>IF(V66&lt;&gt;"",INDEX($G$3:$I$228,MATCH($U66,$T$3:$T$228,0),COLUMNS($U$3:V66)),"")</f>
        <v/>
      </c>
      <c r="X66" s="1" t="str">
        <f>IF(W66&lt;&gt;"",INDEX($G$3:$I$228,MATCH($U66,$T$3:$T$228,0),COLUMNS($U$3:W66)),"")</f>
        <v/>
      </c>
      <c r="Z66" s="1" t="b">
        <f t="shared" si="2"/>
        <v>1</v>
      </c>
      <c r="AA66" s="1">
        <f>IF(Z66=TRUE,ROWS($Z$3:Z66),"")</f>
        <v>64</v>
      </c>
      <c r="AB66" s="1">
        <f>IFERROR(SMALL($AA$3:$AA$228,ROWS($AA$3:AA66)),"")</f>
        <v>64</v>
      </c>
      <c r="AC66" s="1" t="str">
        <f>IF(AB66&lt;&gt;"",INDEX($G$3:$I$228,MATCH($AB66,$AA$3:$AA$228,0),COLUMNS($AA$3:AA66)),"")</f>
        <v>Naivas Zion</v>
      </c>
      <c r="AD66" s="1">
        <f>IF(AC66&lt;&gt;"",INDEX($G$3:$I$228,MATCH($AB66,$AA$3:$AA$228,0),COLUMNS($AA$3:AB66)),"")</f>
        <v>124142.95</v>
      </c>
      <c r="AE66" s="1" t="str">
        <f>IF(AD66&lt;&gt;"",INDEX($G$3:$I$228,MATCH($AB66,$AA$3:$AA$228,0),COLUMNS($AA$3:AC66)),"")</f>
        <v>Rift valley</v>
      </c>
    </row>
    <row r="67" spans="1:31" x14ac:dyDescent="0.2">
      <c r="A67" s="2">
        <v>44747</v>
      </c>
      <c r="B67" s="1" t="s">
        <v>82</v>
      </c>
      <c r="C67" s="1" t="s">
        <v>249</v>
      </c>
      <c r="D67" s="1">
        <v>132666</v>
      </c>
      <c r="E67" s="3">
        <v>63901.279999999999</v>
      </c>
      <c r="F67" s="1" t="s">
        <v>11</v>
      </c>
      <c r="G67" s="1" t="s">
        <v>138</v>
      </c>
      <c r="H67" s="3">
        <f>SUMIFS(Table1[Value],Table1[Outlets],G67)</f>
        <v>123168.17</v>
      </c>
      <c r="I67" s="1" t="str">
        <f>IFERROR(VLOOKUP(G67,Table1[[Outlets]:[Region]],2,0),"")</f>
        <v>Coast</v>
      </c>
      <c r="K67" s="1" t="b">
        <f t="shared" ref="K67:K130" si="3">AND($K$2&lt;&gt;"",ISNUMBER(SEARCH($K$2,G67)))</f>
        <v>0</v>
      </c>
      <c r="L67" s="1" t="str">
        <f>IF(K67=TRUE,ROWS($J$3:J67),"")</f>
        <v/>
      </c>
      <c r="M67" s="1" t="str">
        <f>IFERROR(SMALL($L$3:$L$228,ROWS($L$3:L67)),"")</f>
        <v/>
      </c>
      <c r="N67" s="1" t="str">
        <f>IF(M67&lt;&gt;"",INDEX($G$3:$I$228,MATCH($M67,$L$3:$L$228,0),COLUMNS($L$3:L67)),"")</f>
        <v/>
      </c>
      <c r="O67" s="3" t="str">
        <f>IF(N67&lt;&gt;"",INDEX($G$3:$I$228,MATCH($M67,$L$3:$L$228,0),COLUMNS($L$3:M67)),"")</f>
        <v/>
      </c>
      <c r="P67" s="1" t="str">
        <f>IF(O67&lt;&gt;"",INDEX($G$3:$I$228,MATCH($M67,$L$3:$L$228,0),COLUMNS($L$3:N67)),"")</f>
        <v/>
      </c>
      <c r="S67" s="1" t="b">
        <f t="shared" si="1"/>
        <v>0</v>
      </c>
      <c r="T67" s="1" t="str">
        <f>IF(S67=TRUE,ROWS($S$3:S67),"")</f>
        <v/>
      </c>
      <c r="U67" s="1" t="str">
        <f>IFERROR(SMALL($T$3:$T$228,ROWS($T$3:T67)),"")</f>
        <v/>
      </c>
      <c r="V67" s="1" t="str">
        <f>IF(U67&lt;&gt;"",INDEX($G$3:$I$228,MATCH($U67,$T$3:$T$228,0),COLUMNS($U$3:U67)),"")</f>
        <v/>
      </c>
      <c r="W67" s="1" t="str">
        <f>IF(V67&lt;&gt;"",INDEX($G$3:$I$228,MATCH($U67,$T$3:$T$228,0),COLUMNS($U$3:V67)),"")</f>
        <v/>
      </c>
      <c r="X67" s="1" t="str">
        <f>IF(W67&lt;&gt;"",INDEX($G$3:$I$228,MATCH($U67,$T$3:$T$228,0),COLUMNS($U$3:W67)),"")</f>
        <v/>
      </c>
      <c r="Z67" s="1" t="b">
        <f t="shared" si="2"/>
        <v>1</v>
      </c>
      <c r="AA67" s="1">
        <f>IF(Z67=TRUE,ROWS($Z$3:Z67),"")</f>
        <v>65</v>
      </c>
      <c r="AB67" s="1">
        <f>IFERROR(SMALL($AA$3:$AA$228,ROWS($AA$3:AA67)),"")</f>
        <v>65</v>
      </c>
      <c r="AC67" s="1" t="str">
        <f>IF(AB67&lt;&gt;"",INDEX($G$3:$I$228,MATCH($AB67,$AA$3:$AA$228,0),COLUMNS($AA$3:AA67)),"")</f>
        <v>Naivas Bamburi</v>
      </c>
      <c r="AD67" s="1">
        <f>IF(AC67&lt;&gt;"",INDEX($G$3:$I$228,MATCH($AB67,$AA$3:$AA$228,0),COLUMNS($AA$3:AB67)),"")</f>
        <v>123168.17</v>
      </c>
      <c r="AE67" s="1" t="str">
        <f>IF(AD67&lt;&gt;"",INDEX($G$3:$I$228,MATCH($AB67,$AA$3:$AA$228,0),COLUMNS($AA$3:AC67)),"")</f>
        <v>Coast</v>
      </c>
    </row>
    <row r="68" spans="1:31" x14ac:dyDescent="0.2">
      <c r="A68" s="2">
        <v>44747</v>
      </c>
      <c r="B68" s="1" t="s">
        <v>83</v>
      </c>
      <c r="C68" s="1" t="s">
        <v>3</v>
      </c>
      <c r="D68" s="1">
        <v>132667</v>
      </c>
      <c r="E68" s="3">
        <v>11416.37</v>
      </c>
      <c r="F68" s="1" t="s">
        <v>5</v>
      </c>
      <c r="G68" s="1" t="s">
        <v>61</v>
      </c>
      <c r="H68" s="3">
        <f>SUMIFS(Table1[Value],Table1[Outlets],G68)</f>
        <v>120455.04999999999</v>
      </c>
      <c r="I68" s="1" t="str">
        <f>IFERROR(VLOOKUP(G68,Table1[[Outlets]:[Region]],2,0),"")</f>
        <v>Rift valley</v>
      </c>
      <c r="K68" s="1" t="b">
        <f t="shared" si="3"/>
        <v>0</v>
      </c>
      <c r="L68" s="1" t="str">
        <f>IF(K68=TRUE,ROWS($J$3:J68),"")</f>
        <v/>
      </c>
      <c r="M68" s="1" t="str">
        <f>IFERROR(SMALL($L$3:$L$228,ROWS($L$3:L68)),"")</f>
        <v/>
      </c>
      <c r="N68" s="1" t="str">
        <f>IF(M68&lt;&gt;"",INDEX($G$3:$I$228,MATCH($M68,$L$3:$L$228,0),COLUMNS($L$3:L68)),"")</f>
        <v/>
      </c>
      <c r="O68" s="3" t="str">
        <f>IF(N68&lt;&gt;"",INDEX($G$3:$I$228,MATCH($M68,$L$3:$L$228,0),COLUMNS($L$3:M68)),"")</f>
        <v/>
      </c>
      <c r="P68" s="1" t="str">
        <f>IF(O68&lt;&gt;"",INDEX($G$3:$I$228,MATCH($M68,$L$3:$L$228,0),COLUMNS($L$3:N68)),"")</f>
        <v/>
      </c>
      <c r="S68" s="1" t="b">
        <f t="shared" ref="S68:S131" si="4">AND($S$2&lt;&gt;"",ISNUMBER(SEARCH($S$2,I68)))</f>
        <v>0</v>
      </c>
      <c r="T68" s="1" t="str">
        <f>IF(S68=TRUE,ROWS($S$3:S68),"")</f>
        <v/>
      </c>
      <c r="U68" s="1" t="str">
        <f>IFERROR(SMALL($T$3:$T$228,ROWS($T$3:T68)),"")</f>
        <v/>
      </c>
      <c r="V68" s="1" t="str">
        <f>IF(U68&lt;&gt;"",INDEX($G$3:$I$228,MATCH($U68,$T$3:$T$228,0),COLUMNS($U$3:U68)),"")</f>
        <v/>
      </c>
      <c r="W68" s="1" t="str">
        <f>IF(V68&lt;&gt;"",INDEX($G$3:$I$228,MATCH($U68,$T$3:$T$228,0),COLUMNS($U$3:V68)),"")</f>
        <v/>
      </c>
      <c r="X68" s="1" t="str">
        <f>IF(W68&lt;&gt;"",INDEX($G$3:$I$228,MATCH($U68,$T$3:$T$228,0),COLUMNS($U$3:W68)),"")</f>
        <v/>
      </c>
      <c r="Z68" s="1" t="b">
        <f t="shared" ref="Z68:Z131" si="5">IF($Z$2="",TRUE,ISNUMBER(SEARCH($Z$2,G68)))</f>
        <v>1</v>
      </c>
      <c r="AA68" s="1">
        <f>IF(Z68=TRUE,ROWS($Z$3:Z68),"")</f>
        <v>66</v>
      </c>
      <c r="AB68" s="1">
        <f>IFERROR(SMALL($AA$3:$AA$228,ROWS($AA$3:AA68)),"")</f>
        <v>66</v>
      </c>
      <c r="AC68" s="1" t="str">
        <f>IF(AB68&lt;&gt;"",INDEX($G$3:$I$228,MATCH($AB68,$AA$3:$AA$228,0),COLUMNS($AA$3:AA68)),"")</f>
        <v>Naivas Westside</v>
      </c>
      <c r="AD68" s="1">
        <f>IF(AC68&lt;&gt;"",INDEX($G$3:$I$228,MATCH($AB68,$AA$3:$AA$228,0),COLUMNS($AA$3:AB68)),"")</f>
        <v>120455.04999999999</v>
      </c>
      <c r="AE68" s="1" t="str">
        <f>IF(AD68&lt;&gt;"",INDEX($G$3:$I$228,MATCH($AB68,$AA$3:$AA$228,0),COLUMNS($AA$3:AC68)),"")</f>
        <v>Rift valley</v>
      </c>
    </row>
    <row r="69" spans="1:31" x14ac:dyDescent="0.2">
      <c r="A69" s="2">
        <v>44747</v>
      </c>
      <c r="B69" s="1" t="s">
        <v>84</v>
      </c>
      <c r="C69" s="1" t="s">
        <v>3</v>
      </c>
      <c r="D69" s="1">
        <v>132669</v>
      </c>
      <c r="E69" s="3">
        <v>36521.93</v>
      </c>
      <c r="F69" s="1" t="s">
        <v>11</v>
      </c>
      <c r="G69" s="1" t="s">
        <v>78</v>
      </c>
      <c r="H69" s="3">
        <f>SUMIFS(Table1[Value],Table1[Outlets],G69)</f>
        <v>120387.09000000001</v>
      </c>
      <c r="I69" s="1" t="str">
        <f>IFERROR(VLOOKUP(G69,Table1[[Outlets]:[Region]],2,0),"")</f>
        <v>Nairobi</v>
      </c>
      <c r="K69" s="1" t="b">
        <f t="shared" si="3"/>
        <v>0</v>
      </c>
      <c r="L69" s="1" t="str">
        <f>IF(K69=TRUE,ROWS($J$3:J69),"")</f>
        <v/>
      </c>
      <c r="M69" s="1" t="str">
        <f>IFERROR(SMALL($L$3:$L$228,ROWS($L$3:L69)),"")</f>
        <v/>
      </c>
      <c r="N69" s="1" t="str">
        <f>IF(M69&lt;&gt;"",INDEX($G$3:$I$228,MATCH($M69,$L$3:$L$228,0),COLUMNS($L$3:L69)),"")</f>
        <v/>
      </c>
      <c r="O69" s="3" t="str">
        <f>IF(N69&lt;&gt;"",INDEX($G$3:$I$228,MATCH($M69,$L$3:$L$228,0),COLUMNS($L$3:M69)),"")</f>
        <v/>
      </c>
      <c r="P69" s="1" t="str">
        <f>IF(O69&lt;&gt;"",INDEX($G$3:$I$228,MATCH($M69,$L$3:$L$228,0),COLUMNS($L$3:N69)),"")</f>
        <v/>
      </c>
      <c r="S69" s="1" t="b">
        <f t="shared" si="4"/>
        <v>0</v>
      </c>
      <c r="T69" s="1" t="str">
        <f>IF(S69=TRUE,ROWS($S$3:S69),"")</f>
        <v/>
      </c>
      <c r="U69" s="1" t="str">
        <f>IFERROR(SMALL($T$3:$T$228,ROWS($T$3:T69)),"")</f>
        <v/>
      </c>
      <c r="V69" s="1" t="str">
        <f>IF(U69&lt;&gt;"",INDEX($G$3:$I$228,MATCH($U69,$T$3:$T$228,0),COLUMNS($U$3:U69)),"")</f>
        <v/>
      </c>
      <c r="W69" s="1" t="str">
        <f>IF(V69&lt;&gt;"",INDEX($G$3:$I$228,MATCH($U69,$T$3:$T$228,0),COLUMNS($U$3:V69)),"")</f>
        <v/>
      </c>
      <c r="X69" s="1" t="str">
        <f>IF(W69&lt;&gt;"",INDEX($G$3:$I$228,MATCH($U69,$T$3:$T$228,0),COLUMNS($U$3:W69)),"")</f>
        <v/>
      </c>
      <c r="Z69" s="1" t="b">
        <f t="shared" si="5"/>
        <v>1</v>
      </c>
      <c r="AA69" s="1">
        <f>IF(Z69=TRUE,ROWS($Z$3:Z69),"")</f>
        <v>67</v>
      </c>
      <c r="AB69" s="1">
        <f>IFERROR(SMALL($AA$3:$AA$228,ROWS($AA$3:AA69)),"")</f>
        <v>67</v>
      </c>
      <c r="AC69" s="1" t="str">
        <f>IF(AB69&lt;&gt;"",INDEX($G$3:$I$228,MATCH($AB69,$AA$3:$AA$228,0),COLUMNS($AA$3:AA69)),"")</f>
        <v>Naivas Homeground</v>
      </c>
      <c r="AD69" s="1">
        <f>IF(AC69&lt;&gt;"",INDEX($G$3:$I$228,MATCH($AB69,$AA$3:$AA$228,0),COLUMNS($AA$3:AB69)),"")</f>
        <v>120387.09000000001</v>
      </c>
      <c r="AE69" s="1" t="str">
        <f>IF(AD69&lt;&gt;"",INDEX($G$3:$I$228,MATCH($AB69,$AA$3:$AA$228,0),COLUMNS($AA$3:AC69)),"")</f>
        <v>Nairobi</v>
      </c>
    </row>
    <row r="70" spans="1:31" x14ac:dyDescent="0.2">
      <c r="A70" s="2">
        <v>44747</v>
      </c>
      <c r="B70" s="1" t="s">
        <v>85</v>
      </c>
      <c r="C70" s="1" t="s">
        <v>3</v>
      </c>
      <c r="D70" s="1">
        <v>132670</v>
      </c>
      <c r="E70" s="3">
        <v>41302.79</v>
      </c>
      <c r="F70" s="1" t="s">
        <v>11</v>
      </c>
      <c r="G70" s="1" t="s">
        <v>42</v>
      </c>
      <c r="H70" s="3">
        <f>SUMIFS(Table1[Value],Table1[Outlets],G70)</f>
        <v>114367.77</v>
      </c>
      <c r="I70" s="1" t="str">
        <f>IFERROR(VLOOKUP(G70,Table1[[Outlets]:[Region]],2,0),"")</f>
        <v>Nairobi</v>
      </c>
      <c r="K70" s="1" t="b">
        <f t="shared" si="3"/>
        <v>0</v>
      </c>
      <c r="L70" s="1" t="str">
        <f>IF(K70=TRUE,ROWS($J$3:J70),"")</f>
        <v/>
      </c>
      <c r="M70" s="1" t="str">
        <f>IFERROR(SMALL($L$3:$L$228,ROWS($L$3:L70)),"")</f>
        <v/>
      </c>
      <c r="N70" s="1" t="str">
        <f>IF(M70&lt;&gt;"",INDEX($G$3:$I$228,MATCH($M70,$L$3:$L$228,0),COLUMNS($L$3:L70)),"")</f>
        <v/>
      </c>
      <c r="O70" s="3" t="str">
        <f>IF(N70&lt;&gt;"",INDEX($G$3:$I$228,MATCH($M70,$L$3:$L$228,0),COLUMNS($L$3:M70)),"")</f>
        <v/>
      </c>
      <c r="P70" s="1" t="str">
        <f>IF(O70&lt;&gt;"",INDEX($G$3:$I$228,MATCH($M70,$L$3:$L$228,0),COLUMNS($L$3:N70)),"")</f>
        <v/>
      </c>
      <c r="S70" s="1" t="b">
        <f t="shared" si="4"/>
        <v>0</v>
      </c>
      <c r="T70" s="1" t="str">
        <f>IF(S70=TRUE,ROWS($S$3:S70),"")</f>
        <v/>
      </c>
      <c r="U70" s="1" t="str">
        <f>IFERROR(SMALL($T$3:$T$228,ROWS($T$3:T70)),"")</f>
        <v/>
      </c>
      <c r="V70" s="1" t="str">
        <f>IF(U70&lt;&gt;"",INDEX($G$3:$I$228,MATCH($U70,$T$3:$T$228,0),COLUMNS($U$3:U70)),"")</f>
        <v/>
      </c>
      <c r="W70" s="1" t="str">
        <f>IF(V70&lt;&gt;"",INDEX($G$3:$I$228,MATCH($U70,$T$3:$T$228,0),COLUMNS($U$3:V70)),"")</f>
        <v/>
      </c>
      <c r="X70" s="1" t="str">
        <f>IF(W70&lt;&gt;"",INDEX($G$3:$I$228,MATCH($U70,$T$3:$T$228,0),COLUMNS($U$3:W70)),"")</f>
        <v/>
      </c>
      <c r="Z70" s="1" t="b">
        <f t="shared" si="5"/>
        <v>1</v>
      </c>
      <c r="AA70" s="1">
        <f>IF(Z70=TRUE,ROWS($Z$3:Z70),"")</f>
        <v>68</v>
      </c>
      <c r="AB70" s="1">
        <f>IFERROR(SMALL($AA$3:$AA$228,ROWS($AA$3:AA70)),"")</f>
        <v>68</v>
      </c>
      <c r="AC70" s="1" t="str">
        <f>IF(AB70&lt;&gt;"",INDEX($G$3:$I$228,MATCH($AB70,$AA$3:$AA$228,0),COLUMNS($AA$3:AA70)),"")</f>
        <v>Quickmart Ruiru</v>
      </c>
      <c r="AD70" s="1">
        <f>IF(AC70&lt;&gt;"",INDEX($G$3:$I$228,MATCH($AB70,$AA$3:$AA$228,0),COLUMNS($AA$3:AB70)),"")</f>
        <v>114367.77</v>
      </c>
      <c r="AE70" s="1" t="str">
        <f>IF(AD70&lt;&gt;"",INDEX($G$3:$I$228,MATCH($AB70,$AA$3:$AA$228,0),COLUMNS($AA$3:AC70)),"")</f>
        <v>Nairobi</v>
      </c>
    </row>
    <row r="71" spans="1:31" x14ac:dyDescent="0.2">
      <c r="A71" s="2">
        <v>44747</v>
      </c>
      <c r="B71" s="1" t="s">
        <v>86</v>
      </c>
      <c r="C71" s="1" t="s">
        <v>3</v>
      </c>
      <c r="D71" s="1">
        <v>132672</v>
      </c>
      <c r="E71" s="3">
        <v>106610.55</v>
      </c>
      <c r="F71" s="1" t="s">
        <v>11</v>
      </c>
      <c r="G71" s="1" t="s">
        <v>58</v>
      </c>
      <c r="H71" s="3">
        <f>SUMIFS(Table1[Value],Table1[Outlets],G71)</f>
        <v>113310.79000000001</v>
      </c>
      <c r="I71" s="1" t="str">
        <f>IFERROR(VLOOKUP(G71,Table1[[Outlets]:[Region]],2,0),"")</f>
        <v>Coast</v>
      </c>
      <c r="K71" s="1" t="b">
        <f t="shared" si="3"/>
        <v>0</v>
      </c>
      <c r="L71" s="1" t="str">
        <f>IF(K71=TRUE,ROWS($J$3:J71),"")</f>
        <v/>
      </c>
      <c r="M71" s="1" t="str">
        <f>IFERROR(SMALL($L$3:$L$228,ROWS($L$3:L71)),"")</f>
        <v/>
      </c>
      <c r="N71" s="1" t="str">
        <f>IF(M71&lt;&gt;"",INDEX($G$3:$I$228,MATCH($M71,$L$3:$L$228,0),COLUMNS($L$3:L71)),"")</f>
        <v/>
      </c>
      <c r="O71" s="3" t="str">
        <f>IF(N71&lt;&gt;"",INDEX($G$3:$I$228,MATCH($M71,$L$3:$L$228,0),COLUMNS($L$3:M71)),"")</f>
        <v/>
      </c>
      <c r="P71" s="1" t="str">
        <f>IF(O71&lt;&gt;"",INDEX($G$3:$I$228,MATCH($M71,$L$3:$L$228,0),COLUMNS($L$3:N71)),"")</f>
        <v/>
      </c>
      <c r="S71" s="1" t="b">
        <f t="shared" si="4"/>
        <v>0</v>
      </c>
      <c r="T71" s="1" t="str">
        <f>IF(S71=TRUE,ROWS($S$3:S71),"")</f>
        <v/>
      </c>
      <c r="U71" s="1" t="str">
        <f>IFERROR(SMALL($T$3:$T$228,ROWS($T$3:T71)),"")</f>
        <v/>
      </c>
      <c r="V71" s="1" t="str">
        <f>IF(U71&lt;&gt;"",INDEX($G$3:$I$228,MATCH($U71,$T$3:$T$228,0),COLUMNS($U$3:U71)),"")</f>
        <v/>
      </c>
      <c r="W71" s="1" t="str">
        <f>IF(V71&lt;&gt;"",INDEX($G$3:$I$228,MATCH($U71,$T$3:$T$228,0),COLUMNS($U$3:V71)),"")</f>
        <v/>
      </c>
      <c r="X71" s="1" t="str">
        <f>IF(W71&lt;&gt;"",INDEX($G$3:$I$228,MATCH($U71,$T$3:$T$228,0),COLUMNS($U$3:W71)),"")</f>
        <v/>
      </c>
      <c r="Z71" s="1" t="b">
        <f t="shared" si="5"/>
        <v>1</v>
      </c>
      <c r="AA71" s="1">
        <f>IF(Z71=TRUE,ROWS($Z$3:Z71),"")</f>
        <v>69</v>
      </c>
      <c r="AB71" s="1">
        <f>IFERROR(SMALL($AA$3:$AA$228,ROWS($AA$3:AA71)),"")</f>
        <v>69</v>
      </c>
      <c r="AC71" s="1" t="str">
        <f>IF(AB71&lt;&gt;"",INDEX($G$3:$I$228,MATCH($AB71,$AA$3:$AA$228,0),COLUMNS($AA$3:AA71)),"")</f>
        <v>Quickmart Bandari</v>
      </c>
      <c r="AD71" s="1">
        <f>IF(AC71&lt;&gt;"",INDEX($G$3:$I$228,MATCH($AB71,$AA$3:$AA$228,0),COLUMNS($AA$3:AB71)),"")</f>
        <v>113310.79000000001</v>
      </c>
      <c r="AE71" s="1" t="str">
        <f>IF(AD71&lt;&gt;"",INDEX($G$3:$I$228,MATCH($AB71,$AA$3:$AA$228,0),COLUMNS($AA$3:AC71)),"")</f>
        <v>Coast</v>
      </c>
    </row>
    <row r="72" spans="1:31" x14ac:dyDescent="0.2">
      <c r="A72" s="2">
        <v>44747</v>
      </c>
      <c r="B72" s="1" t="s">
        <v>87</v>
      </c>
      <c r="C72" s="1" t="s">
        <v>3</v>
      </c>
      <c r="D72" s="1">
        <v>132673</v>
      </c>
      <c r="E72" s="3">
        <v>67384.22</v>
      </c>
      <c r="F72" s="1" t="s">
        <v>10</v>
      </c>
      <c r="G72" s="1" t="s">
        <v>142</v>
      </c>
      <c r="H72" s="3">
        <f>SUMIFS(Table1[Value],Table1[Outlets],G72)</f>
        <v>112235.75</v>
      </c>
      <c r="I72" s="1" t="str">
        <f>IFERROR(VLOOKUP(G72,Table1[[Outlets]:[Region]],2,0),"")</f>
        <v>Nairobi</v>
      </c>
      <c r="K72" s="1" t="b">
        <f t="shared" si="3"/>
        <v>0</v>
      </c>
      <c r="L72" s="1" t="str">
        <f>IF(K72=TRUE,ROWS($J$3:J72),"")</f>
        <v/>
      </c>
      <c r="M72" s="1" t="str">
        <f>IFERROR(SMALL($L$3:$L$228,ROWS($L$3:L72)),"")</f>
        <v/>
      </c>
      <c r="N72" s="1" t="str">
        <f>IF(M72&lt;&gt;"",INDEX($G$3:$I$228,MATCH($M72,$L$3:$L$228,0),COLUMNS($L$3:L72)),"")</f>
        <v/>
      </c>
      <c r="O72" s="3" t="str">
        <f>IF(N72&lt;&gt;"",INDEX($G$3:$I$228,MATCH($M72,$L$3:$L$228,0),COLUMNS($L$3:M72)),"")</f>
        <v/>
      </c>
      <c r="P72" s="1" t="str">
        <f>IF(O72&lt;&gt;"",INDEX($G$3:$I$228,MATCH($M72,$L$3:$L$228,0),COLUMNS($L$3:N72)),"")</f>
        <v/>
      </c>
      <c r="S72" s="1" t="b">
        <f t="shared" si="4"/>
        <v>0</v>
      </c>
      <c r="T72" s="1" t="str">
        <f>IF(S72=TRUE,ROWS($S$3:S72),"")</f>
        <v/>
      </c>
      <c r="U72" s="1" t="str">
        <f>IFERROR(SMALL($T$3:$T$228,ROWS($T$3:T72)),"")</f>
        <v/>
      </c>
      <c r="V72" s="1" t="str">
        <f>IF(U72&lt;&gt;"",INDEX($G$3:$I$228,MATCH($U72,$T$3:$T$228,0),COLUMNS($U$3:U72)),"")</f>
        <v/>
      </c>
      <c r="W72" s="1" t="str">
        <f>IF(V72&lt;&gt;"",INDEX($G$3:$I$228,MATCH($U72,$T$3:$T$228,0),COLUMNS($U$3:V72)),"")</f>
        <v/>
      </c>
      <c r="X72" s="1" t="str">
        <f>IF(W72&lt;&gt;"",INDEX($G$3:$I$228,MATCH($U72,$T$3:$T$228,0),COLUMNS($U$3:W72)),"")</f>
        <v/>
      </c>
      <c r="Z72" s="1" t="b">
        <f t="shared" si="5"/>
        <v>1</v>
      </c>
      <c r="AA72" s="1">
        <f>IF(Z72=TRUE,ROWS($Z$3:Z72),"")</f>
        <v>70</v>
      </c>
      <c r="AB72" s="1">
        <f>IFERROR(SMALL($AA$3:$AA$228,ROWS($AA$3:AA72)),"")</f>
        <v>70</v>
      </c>
      <c r="AC72" s="1" t="str">
        <f>IF(AB72&lt;&gt;"",INDEX($G$3:$I$228,MATCH($AB72,$AA$3:$AA$228,0),COLUMNS($AA$3:AA72)),"")</f>
        <v>Naivas Waterfront</v>
      </c>
      <c r="AD72" s="1">
        <f>IF(AC72&lt;&gt;"",INDEX($G$3:$I$228,MATCH($AB72,$AA$3:$AA$228,0),COLUMNS($AA$3:AB72)),"")</f>
        <v>112235.75</v>
      </c>
      <c r="AE72" s="1" t="str">
        <f>IF(AD72&lt;&gt;"",INDEX($G$3:$I$228,MATCH($AB72,$AA$3:$AA$228,0),COLUMNS($AA$3:AC72)),"")</f>
        <v>Nairobi</v>
      </c>
    </row>
    <row r="73" spans="1:31" x14ac:dyDescent="0.2">
      <c r="A73" s="2">
        <v>44747</v>
      </c>
      <c r="B73" s="1" t="s">
        <v>88</v>
      </c>
      <c r="C73" s="1" t="s">
        <v>251</v>
      </c>
      <c r="D73" s="1">
        <v>132674</v>
      </c>
      <c r="E73" s="3">
        <v>107245.87</v>
      </c>
      <c r="F73" s="1" t="s">
        <v>11</v>
      </c>
      <c r="G73" s="1" t="s">
        <v>134</v>
      </c>
      <c r="H73" s="3">
        <f>SUMIFS(Table1[Value],Table1[Outlets],G73)</f>
        <v>109258.54000000001</v>
      </c>
      <c r="I73" s="1" t="str">
        <f>IFERROR(VLOOKUP(G73,Table1[[Outlets]:[Region]],2,0),"")</f>
        <v>Nairobi</v>
      </c>
      <c r="K73" s="1" t="b">
        <f t="shared" si="3"/>
        <v>0</v>
      </c>
      <c r="L73" s="1" t="str">
        <f>IF(K73=TRUE,ROWS($J$3:J73),"")</f>
        <v/>
      </c>
      <c r="M73" s="1" t="str">
        <f>IFERROR(SMALL($L$3:$L$228,ROWS($L$3:L73)),"")</f>
        <v/>
      </c>
      <c r="N73" s="1" t="str">
        <f>IF(M73&lt;&gt;"",INDEX($G$3:$I$228,MATCH($M73,$L$3:$L$228,0),COLUMNS($L$3:L73)),"")</f>
        <v/>
      </c>
      <c r="O73" s="3" t="str">
        <f>IF(N73&lt;&gt;"",INDEX($G$3:$I$228,MATCH($M73,$L$3:$L$228,0),COLUMNS($L$3:M73)),"")</f>
        <v/>
      </c>
      <c r="P73" s="1" t="str">
        <f>IF(O73&lt;&gt;"",INDEX($G$3:$I$228,MATCH($M73,$L$3:$L$228,0),COLUMNS($L$3:N73)),"")</f>
        <v/>
      </c>
      <c r="S73" s="1" t="b">
        <f t="shared" si="4"/>
        <v>0</v>
      </c>
      <c r="T73" s="1" t="str">
        <f>IF(S73=TRUE,ROWS($S$3:S73),"")</f>
        <v/>
      </c>
      <c r="U73" s="1" t="str">
        <f>IFERROR(SMALL($T$3:$T$228,ROWS($T$3:T73)),"")</f>
        <v/>
      </c>
      <c r="V73" s="1" t="str">
        <f>IF(U73&lt;&gt;"",INDEX($G$3:$I$228,MATCH($U73,$T$3:$T$228,0),COLUMNS($U$3:U73)),"")</f>
        <v/>
      </c>
      <c r="W73" s="1" t="str">
        <f>IF(V73&lt;&gt;"",INDEX($G$3:$I$228,MATCH($U73,$T$3:$T$228,0),COLUMNS($U$3:V73)),"")</f>
        <v/>
      </c>
      <c r="X73" s="1" t="str">
        <f>IF(W73&lt;&gt;"",INDEX($G$3:$I$228,MATCH($U73,$T$3:$T$228,0),COLUMNS($U$3:W73)),"")</f>
        <v/>
      </c>
      <c r="Z73" s="1" t="b">
        <f t="shared" si="5"/>
        <v>1</v>
      </c>
      <c r="AA73" s="1">
        <f>IF(Z73=TRUE,ROWS($Z$3:Z73),"")</f>
        <v>71</v>
      </c>
      <c r="AB73" s="1">
        <f>IFERROR(SMALL($AA$3:$AA$228,ROWS($AA$3:AA73)),"")</f>
        <v>71</v>
      </c>
      <c r="AC73" s="1" t="str">
        <f>IF(AB73&lt;&gt;"",INDEX($G$3:$I$228,MATCH($AB73,$AA$3:$AA$228,0),COLUMNS($AA$3:AA73)),"")</f>
        <v>Quickmart Pioneer</v>
      </c>
      <c r="AD73" s="1">
        <f>IF(AC73&lt;&gt;"",INDEX($G$3:$I$228,MATCH($AB73,$AA$3:$AA$228,0),COLUMNS($AA$3:AB73)),"")</f>
        <v>109258.54000000001</v>
      </c>
      <c r="AE73" s="1" t="str">
        <f>IF(AD73&lt;&gt;"",INDEX($G$3:$I$228,MATCH($AB73,$AA$3:$AA$228,0),COLUMNS($AA$3:AC73)),"")</f>
        <v>Nairobi</v>
      </c>
    </row>
    <row r="74" spans="1:31" x14ac:dyDescent="0.2">
      <c r="A74" s="2">
        <v>44747</v>
      </c>
      <c r="B74" s="1" t="s">
        <v>89</v>
      </c>
      <c r="C74" s="1" t="s">
        <v>3</v>
      </c>
      <c r="D74" s="1">
        <v>132676</v>
      </c>
      <c r="E74" s="3">
        <v>90587.72</v>
      </c>
      <c r="F74" s="1" t="s">
        <v>11</v>
      </c>
      <c r="G74" s="1" t="s">
        <v>88</v>
      </c>
      <c r="H74" s="3">
        <f>SUMIFS(Table1[Value],Table1[Outlets],G74)</f>
        <v>107245.87</v>
      </c>
      <c r="I74" s="1" t="str">
        <f>IFERROR(VLOOKUP(G74,Table1[[Outlets]:[Region]],2,0),"")</f>
        <v>Rift valley</v>
      </c>
      <c r="K74" s="1" t="b">
        <f t="shared" si="3"/>
        <v>0</v>
      </c>
      <c r="L74" s="1" t="str">
        <f>IF(K74=TRUE,ROWS($J$3:J74),"")</f>
        <v/>
      </c>
      <c r="M74" s="1" t="str">
        <f>IFERROR(SMALL($L$3:$L$228,ROWS($L$3:L74)),"")</f>
        <v/>
      </c>
      <c r="N74" s="1" t="str">
        <f>IF(M74&lt;&gt;"",INDEX($G$3:$I$228,MATCH($M74,$L$3:$L$228,0),COLUMNS($L$3:L74)),"")</f>
        <v/>
      </c>
      <c r="O74" s="3" t="str">
        <f>IF(N74&lt;&gt;"",INDEX($G$3:$I$228,MATCH($M74,$L$3:$L$228,0),COLUMNS($L$3:M74)),"")</f>
        <v/>
      </c>
      <c r="P74" s="1" t="str">
        <f>IF(O74&lt;&gt;"",INDEX($G$3:$I$228,MATCH($M74,$L$3:$L$228,0),COLUMNS($L$3:N74)),"")</f>
        <v/>
      </c>
      <c r="S74" s="1" t="b">
        <f t="shared" si="4"/>
        <v>0</v>
      </c>
      <c r="T74" s="1" t="str">
        <f>IF(S74=TRUE,ROWS($S$3:S74),"")</f>
        <v/>
      </c>
      <c r="U74" s="1" t="str">
        <f>IFERROR(SMALL($T$3:$T$228,ROWS($T$3:T74)),"")</f>
        <v/>
      </c>
      <c r="V74" s="1" t="str">
        <f>IF(U74&lt;&gt;"",INDEX($G$3:$I$228,MATCH($U74,$T$3:$T$228,0),COLUMNS($U$3:U74)),"")</f>
        <v/>
      </c>
      <c r="W74" s="1" t="str">
        <f>IF(V74&lt;&gt;"",INDEX($G$3:$I$228,MATCH($U74,$T$3:$T$228,0),COLUMNS($U$3:V74)),"")</f>
        <v/>
      </c>
      <c r="X74" s="1" t="str">
        <f>IF(W74&lt;&gt;"",INDEX($G$3:$I$228,MATCH($U74,$T$3:$T$228,0),COLUMNS($U$3:W74)),"")</f>
        <v/>
      </c>
      <c r="Z74" s="1" t="b">
        <f t="shared" si="5"/>
        <v>1</v>
      </c>
      <c r="AA74" s="1">
        <f>IF(Z74=TRUE,ROWS($Z$3:Z74),"")</f>
        <v>72</v>
      </c>
      <c r="AB74" s="1">
        <f>IFERROR(SMALL($AA$3:$AA$228,ROWS($AA$3:AA74)),"")</f>
        <v>72</v>
      </c>
      <c r="AC74" s="1" t="str">
        <f>IF(AB74&lt;&gt;"",INDEX($G$3:$I$228,MATCH($AB74,$AA$3:$AA$228,0),COLUMNS($AA$3:AA74)),"")</f>
        <v>Naivas Kubwa</v>
      </c>
      <c r="AD74" s="1">
        <f>IF(AC74&lt;&gt;"",INDEX($G$3:$I$228,MATCH($AB74,$AA$3:$AA$228,0),COLUMNS($AA$3:AB74)),"")</f>
        <v>107245.87</v>
      </c>
      <c r="AE74" s="1" t="str">
        <f>IF(AD74&lt;&gt;"",INDEX($G$3:$I$228,MATCH($AB74,$AA$3:$AA$228,0),COLUMNS($AA$3:AC74)),"")</f>
        <v>Rift valley</v>
      </c>
    </row>
    <row r="75" spans="1:31" x14ac:dyDescent="0.2">
      <c r="A75" s="2">
        <v>44747</v>
      </c>
      <c r="B75" s="1" t="s">
        <v>90</v>
      </c>
      <c r="C75" s="1" t="s">
        <v>251</v>
      </c>
      <c r="D75" s="1">
        <v>132677</v>
      </c>
      <c r="E75" s="3">
        <v>48552.42</v>
      </c>
      <c r="F75" s="1" t="s">
        <v>9</v>
      </c>
      <c r="G75" s="1" t="s">
        <v>158</v>
      </c>
      <c r="H75" s="3">
        <f>SUMIFS(Table1[Value],Table1[Outlets],G75)</f>
        <v>103652.62999999999</v>
      </c>
      <c r="I75" s="1" t="str">
        <f>IFERROR(VLOOKUP(G75,Table1[[Outlets]:[Region]],2,0),"")</f>
        <v>Nairobi</v>
      </c>
      <c r="K75" s="1" t="b">
        <f t="shared" si="3"/>
        <v>0</v>
      </c>
      <c r="L75" s="1" t="str">
        <f>IF(K75=TRUE,ROWS($J$3:J75),"")</f>
        <v/>
      </c>
      <c r="M75" s="1" t="str">
        <f>IFERROR(SMALL($L$3:$L$228,ROWS($L$3:L75)),"")</f>
        <v/>
      </c>
      <c r="N75" s="1" t="str">
        <f>IF(M75&lt;&gt;"",INDEX($G$3:$I$228,MATCH($M75,$L$3:$L$228,0),COLUMNS($L$3:L75)),"")</f>
        <v/>
      </c>
      <c r="O75" s="3" t="str">
        <f>IF(N75&lt;&gt;"",INDEX($G$3:$I$228,MATCH($M75,$L$3:$L$228,0),COLUMNS($L$3:M75)),"")</f>
        <v/>
      </c>
      <c r="P75" s="1" t="str">
        <f>IF(O75&lt;&gt;"",INDEX($G$3:$I$228,MATCH($M75,$L$3:$L$228,0),COLUMNS($L$3:N75)),"")</f>
        <v/>
      </c>
      <c r="S75" s="1" t="b">
        <f t="shared" si="4"/>
        <v>0</v>
      </c>
      <c r="T75" s="1" t="str">
        <f>IF(S75=TRUE,ROWS($S$3:S75),"")</f>
        <v/>
      </c>
      <c r="U75" s="1" t="str">
        <f>IFERROR(SMALL($T$3:$T$228,ROWS($T$3:T75)),"")</f>
        <v/>
      </c>
      <c r="V75" s="1" t="str">
        <f>IF(U75&lt;&gt;"",INDEX($G$3:$I$228,MATCH($U75,$T$3:$T$228,0),COLUMNS($U$3:U75)),"")</f>
        <v/>
      </c>
      <c r="W75" s="1" t="str">
        <f>IF(V75&lt;&gt;"",INDEX($G$3:$I$228,MATCH($U75,$T$3:$T$228,0),COLUMNS($U$3:V75)),"")</f>
        <v/>
      </c>
      <c r="X75" s="1" t="str">
        <f>IF(W75&lt;&gt;"",INDEX($G$3:$I$228,MATCH($U75,$T$3:$T$228,0),COLUMNS($U$3:W75)),"")</f>
        <v/>
      </c>
      <c r="Z75" s="1" t="b">
        <f t="shared" si="5"/>
        <v>1</v>
      </c>
      <c r="AA75" s="1">
        <f>IF(Z75=TRUE,ROWS($Z$3:Z75),"")</f>
        <v>73</v>
      </c>
      <c r="AB75" s="1">
        <f>IFERROR(SMALL($AA$3:$AA$228,ROWS($AA$3:AA75)),"")</f>
        <v>73</v>
      </c>
      <c r="AC75" s="1" t="str">
        <f>IF(AB75&lt;&gt;"",INDEX($G$3:$I$228,MATCH($AB75,$AA$3:$AA$228,0),COLUMNS($AA$3:AA75)),"")</f>
        <v>Naivas Malindi</v>
      </c>
      <c r="AD75" s="1">
        <f>IF(AC75&lt;&gt;"",INDEX($G$3:$I$228,MATCH($AB75,$AA$3:$AA$228,0),COLUMNS($AA$3:AB75)),"")</f>
        <v>103652.62999999999</v>
      </c>
      <c r="AE75" s="1" t="str">
        <f>IF(AD75&lt;&gt;"",INDEX($G$3:$I$228,MATCH($AB75,$AA$3:$AA$228,0),COLUMNS($AA$3:AC75)),"")</f>
        <v>Nairobi</v>
      </c>
    </row>
    <row r="76" spans="1:31" x14ac:dyDescent="0.2">
      <c r="A76" s="2">
        <v>44747</v>
      </c>
      <c r="B76" s="1" t="s">
        <v>91</v>
      </c>
      <c r="C76" s="1" t="s">
        <v>3</v>
      </c>
      <c r="D76" s="1">
        <v>132680</v>
      </c>
      <c r="E76" s="3">
        <v>39297.449999999997</v>
      </c>
      <c r="F76" s="1" t="s">
        <v>11</v>
      </c>
      <c r="G76" s="1" t="s">
        <v>43</v>
      </c>
      <c r="H76" s="3">
        <f>SUMIFS(Table1[Value],Table1[Outlets],G76)</f>
        <v>103174.43</v>
      </c>
      <c r="I76" s="1" t="str">
        <f>IFERROR(VLOOKUP(G76,Table1[[Outlets]:[Region]],2,0),"")</f>
        <v>Nairobi</v>
      </c>
      <c r="K76" s="1" t="b">
        <f t="shared" si="3"/>
        <v>0</v>
      </c>
      <c r="L76" s="1" t="str">
        <f>IF(K76=TRUE,ROWS($J$3:J76),"")</f>
        <v/>
      </c>
      <c r="M76" s="1" t="str">
        <f>IFERROR(SMALL($L$3:$L$228,ROWS($L$3:L76)),"")</f>
        <v/>
      </c>
      <c r="N76" s="1" t="str">
        <f>IF(M76&lt;&gt;"",INDEX($G$3:$I$228,MATCH($M76,$L$3:$L$228,0),COLUMNS($L$3:L76)),"")</f>
        <v/>
      </c>
      <c r="O76" s="3" t="str">
        <f>IF(N76&lt;&gt;"",INDEX($G$3:$I$228,MATCH($M76,$L$3:$L$228,0),COLUMNS($L$3:M76)),"")</f>
        <v/>
      </c>
      <c r="P76" s="1" t="str">
        <f>IF(O76&lt;&gt;"",INDEX($G$3:$I$228,MATCH($M76,$L$3:$L$228,0),COLUMNS($L$3:N76)),"")</f>
        <v/>
      </c>
      <c r="S76" s="1" t="b">
        <f t="shared" si="4"/>
        <v>0</v>
      </c>
      <c r="T76" s="1" t="str">
        <f>IF(S76=TRUE,ROWS($S$3:S76),"")</f>
        <v/>
      </c>
      <c r="U76" s="1" t="str">
        <f>IFERROR(SMALL($T$3:$T$228,ROWS($T$3:T76)),"")</f>
        <v/>
      </c>
      <c r="V76" s="1" t="str">
        <f>IF(U76&lt;&gt;"",INDEX($G$3:$I$228,MATCH($U76,$T$3:$T$228,0),COLUMNS($U$3:U76)),"")</f>
        <v/>
      </c>
      <c r="W76" s="1" t="str">
        <f>IF(V76&lt;&gt;"",INDEX($G$3:$I$228,MATCH($U76,$T$3:$T$228,0),COLUMNS($U$3:V76)),"")</f>
        <v/>
      </c>
      <c r="X76" s="1" t="str">
        <f>IF(W76&lt;&gt;"",INDEX($G$3:$I$228,MATCH($U76,$T$3:$T$228,0),COLUMNS($U$3:W76)),"")</f>
        <v/>
      </c>
      <c r="Z76" s="1" t="b">
        <f t="shared" si="5"/>
        <v>1</v>
      </c>
      <c r="AA76" s="1">
        <f>IF(Z76=TRUE,ROWS($Z$3:Z76),"")</f>
        <v>74</v>
      </c>
      <c r="AB76" s="1">
        <f>IFERROR(SMALL($AA$3:$AA$228,ROWS($AA$3:AA76)),"")</f>
        <v>74</v>
      </c>
      <c r="AC76" s="1" t="str">
        <f>IF(AB76&lt;&gt;"",INDEX($G$3:$I$228,MATCH($AB76,$AA$3:$AA$228,0),COLUMNS($AA$3:AA76)),"")</f>
        <v>Quickmart Waiyaki</v>
      </c>
      <c r="AD76" s="1">
        <f>IF(AC76&lt;&gt;"",INDEX($G$3:$I$228,MATCH($AB76,$AA$3:$AA$228,0),COLUMNS($AA$3:AB76)),"")</f>
        <v>103174.43</v>
      </c>
      <c r="AE76" s="1" t="str">
        <f>IF(AD76&lt;&gt;"",INDEX($G$3:$I$228,MATCH($AB76,$AA$3:$AA$228,0),COLUMNS($AA$3:AC76)),"")</f>
        <v>Nairobi</v>
      </c>
    </row>
    <row r="77" spans="1:31" x14ac:dyDescent="0.2">
      <c r="A77" s="2">
        <v>44747</v>
      </c>
      <c r="B77" s="1" t="s">
        <v>92</v>
      </c>
      <c r="C77" s="1" t="s">
        <v>3</v>
      </c>
      <c r="D77" s="1">
        <v>132682</v>
      </c>
      <c r="E77" s="3">
        <v>13095.53</v>
      </c>
      <c r="F77" s="1" t="s">
        <v>9</v>
      </c>
      <c r="G77" s="1" t="s">
        <v>93</v>
      </c>
      <c r="H77" s="3">
        <f>SUMIFS(Table1[Value],Table1[Outlets],G77)</f>
        <v>102758.19</v>
      </c>
      <c r="I77" s="1" t="str">
        <f>IFERROR(VLOOKUP(G77,Table1[[Outlets]:[Region]],2,0),"")</f>
        <v>Nairobi</v>
      </c>
      <c r="K77" s="1" t="b">
        <f t="shared" si="3"/>
        <v>0</v>
      </c>
      <c r="L77" s="1" t="str">
        <f>IF(K77=TRUE,ROWS($J$3:J77),"")</f>
        <v/>
      </c>
      <c r="M77" s="1" t="str">
        <f>IFERROR(SMALL($L$3:$L$228,ROWS($L$3:L77)),"")</f>
        <v/>
      </c>
      <c r="N77" s="1" t="str">
        <f>IF(M77&lt;&gt;"",INDEX($G$3:$I$228,MATCH($M77,$L$3:$L$228,0),COLUMNS($L$3:L77)),"")</f>
        <v/>
      </c>
      <c r="O77" s="3" t="str">
        <f>IF(N77&lt;&gt;"",INDEX($G$3:$I$228,MATCH($M77,$L$3:$L$228,0),COLUMNS($L$3:M77)),"")</f>
        <v/>
      </c>
      <c r="P77" s="1" t="str">
        <f>IF(O77&lt;&gt;"",INDEX($G$3:$I$228,MATCH($M77,$L$3:$L$228,0),COLUMNS($L$3:N77)),"")</f>
        <v/>
      </c>
      <c r="S77" s="1" t="b">
        <f t="shared" si="4"/>
        <v>0</v>
      </c>
      <c r="T77" s="1" t="str">
        <f>IF(S77=TRUE,ROWS($S$3:S77),"")</f>
        <v/>
      </c>
      <c r="U77" s="1" t="str">
        <f>IFERROR(SMALL($T$3:$T$228,ROWS($T$3:T77)),"")</f>
        <v/>
      </c>
      <c r="V77" s="1" t="str">
        <f>IF(U77&lt;&gt;"",INDEX($G$3:$I$228,MATCH($U77,$T$3:$T$228,0),COLUMNS($U$3:U77)),"")</f>
        <v/>
      </c>
      <c r="W77" s="1" t="str">
        <f>IF(V77&lt;&gt;"",INDEX($G$3:$I$228,MATCH($U77,$T$3:$T$228,0),COLUMNS($U$3:V77)),"")</f>
        <v/>
      </c>
      <c r="X77" s="1" t="str">
        <f>IF(W77&lt;&gt;"",INDEX($G$3:$I$228,MATCH($U77,$T$3:$T$228,0),COLUMNS($U$3:W77)),"")</f>
        <v/>
      </c>
      <c r="Z77" s="1" t="b">
        <f t="shared" si="5"/>
        <v>1</v>
      </c>
      <c r="AA77" s="1">
        <f>IF(Z77=TRUE,ROWS($Z$3:Z77),"")</f>
        <v>75</v>
      </c>
      <c r="AB77" s="1">
        <f>IFERROR(SMALL($AA$3:$AA$228,ROWS($AA$3:AA77)),"")</f>
        <v>75</v>
      </c>
      <c r="AC77" s="1" t="str">
        <f>IF(AB77&lt;&gt;"",INDEX($G$3:$I$228,MATCH($AB77,$AA$3:$AA$228,0),COLUMNS($AA$3:AA77)),"")</f>
        <v>Quickmart Fedha</v>
      </c>
      <c r="AD77" s="1">
        <f>IF(AC77&lt;&gt;"",INDEX($G$3:$I$228,MATCH($AB77,$AA$3:$AA$228,0),COLUMNS($AA$3:AB77)),"")</f>
        <v>102758.19</v>
      </c>
      <c r="AE77" s="1" t="str">
        <f>IF(AD77&lt;&gt;"",INDEX($G$3:$I$228,MATCH($AB77,$AA$3:$AA$228,0),COLUMNS($AA$3:AC77)),"")</f>
        <v>Nairobi</v>
      </c>
    </row>
    <row r="78" spans="1:31" x14ac:dyDescent="0.2">
      <c r="A78" s="2">
        <v>44747</v>
      </c>
      <c r="B78" s="1" t="s">
        <v>93</v>
      </c>
      <c r="C78" s="1" t="s">
        <v>3</v>
      </c>
      <c r="D78" s="1">
        <v>132686</v>
      </c>
      <c r="E78" s="3">
        <v>27362.75</v>
      </c>
      <c r="F78" s="1" t="s">
        <v>9</v>
      </c>
      <c r="G78" s="1" t="s">
        <v>75</v>
      </c>
      <c r="H78" s="3">
        <f>SUMIFS(Table1[Value],Table1[Outlets],G78)</f>
        <v>101944.13</v>
      </c>
      <c r="I78" s="1" t="str">
        <f>IFERROR(VLOOKUP(G78,Table1[[Outlets]:[Region]],2,0),"")</f>
        <v>Coast</v>
      </c>
      <c r="K78" s="1" t="b">
        <f t="shared" si="3"/>
        <v>0</v>
      </c>
      <c r="L78" s="1" t="str">
        <f>IF(K78=TRUE,ROWS($J$3:J78),"")</f>
        <v/>
      </c>
      <c r="M78" s="1" t="str">
        <f>IFERROR(SMALL($L$3:$L$228,ROWS($L$3:L78)),"")</f>
        <v/>
      </c>
      <c r="N78" s="1" t="str">
        <f>IF(M78&lt;&gt;"",INDEX($G$3:$I$228,MATCH($M78,$L$3:$L$228,0),COLUMNS($L$3:L78)),"")</f>
        <v/>
      </c>
      <c r="O78" s="3" t="str">
        <f>IF(N78&lt;&gt;"",INDEX($G$3:$I$228,MATCH($M78,$L$3:$L$228,0),COLUMNS($L$3:M78)),"")</f>
        <v/>
      </c>
      <c r="P78" s="1" t="str">
        <f>IF(O78&lt;&gt;"",INDEX($G$3:$I$228,MATCH($M78,$L$3:$L$228,0),COLUMNS($L$3:N78)),"")</f>
        <v/>
      </c>
      <c r="S78" s="1" t="b">
        <f t="shared" si="4"/>
        <v>0</v>
      </c>
      <c r="T78" s="1" t="str">
        <f>IF(S78=TRUE,ROWS($S$3:S78),"")</f>
        <v/>
      </c>
      <c r="U78" s="1" t="str">
        <f>IFERROR(SMALL($T$3:$T$228,ROWS($T$3:T78)),"")</f>
        <v/>
      </c>
      <c r="V78" s="1" t="str">
        <f>IF(U78&lt;&gt;"",INDEX($G$3:$I$228,MATCH($U78,$T$3:$T$228,0),COLUMNS($U$3:U78)),"")</f>
        <v/>
      </c>
      <c r="W78" s="1" t="str">
        <f>IF(V78&lt;&gt;"",INDEX($G$3:$I$228,MATCH($U78,$T$3:$T$228,0),COLUMNS($U$3:V78)),"")</f>
        <v/>
      </c>
      <c r="X78" s="1" t="str">
        <f>IF(W78&lt;&gt;"",INDEX($G$3:$I$228,MATCH($U78,$T$3:$T$228,0),COLUMNS($U$3:W78)),"")</f>
        <v/>
      </c>
      <c r="Z78" s="1" t="b">
        <f t="shared" si="5"/>
        <v>1</v>
      </c>
      <c r="AA78" s="1">
        <f>IF(Z78=TRUE,ROWS($Z$3:Z78),"")</f>
        <v>76</v>
      </c>
      <c r="AB78" s="1">
        <f>IFERROR(SMALL($AA$3:$AA$228,ROWS($AA$3:AA78)),"")</f>
        <v>76</v>
      </c>
      <c r="AC78" s="1" t="str">
        <f>IF(AB78&lt;&gt;"",INDEX($G$3:$I$228,MATCH($AB78,$AA$3:$AA$228,0),COLUMNS($AA$3:AA78)),"")</f>
        <v>Carrefour Diani</v>
      </c>
      <c r="AD78" s="1">
        <f>IF(AC78&lt;&gt;"",INDEX($G$3:$I$228,MATCH($AB78,$AA$3:$AA$228,0),COLUMNS($AA$3:AB78)),"")</f>
        <v>101944.13</v>
      </c>
      <c r="AE78" s="1" t="str">
        <f>IF(AD78&lt;&gt;"",INDEX($G$3:$I$228,MATCH($AB78,$AA$3:$AA$228,0),COLUMNS($AA$3:AC78)),"")</f>
        <v>Coast</v>
      </c>
    </row>
    <row r="79" spans="1:31" x14ac:dyDescent="0.2">
      <c r="A79" s="2">
        <v>44747</v>
      </c>
      <c r="B79" s="1" t="s">
        <v>94</v>
      </c>
      <c r="C79" s="1" t="s">
        <v>3</v>
      </c>
      <c r="D79" s="1">
        <v>132687</v>
      </c>
      <c r="E79" s="3">
        <v>9275.17</v>
      </c>
      <c r="F79" s="1" t="s">
        <v>9</v>
      </c>
      <c r="G79" s="1" t="s">
        <v>100</v>
      </c>
      <c r="H79" s="3">
        <f>SUMIFS(Table1[Value],Table1[Outlets],G79)</f>
        <v>99730.41</v>
      </c>
      <c r="I79" s="1" t="str">
        <f>IFERROR(VLOOKUP(G79,Table1[[Outlets]:[Region]],2,0),"")</f>
        <v>Nairobi</v>
      </c>
      <c r="K79" s="1" t="b">
        <f t="shared" si="3"/>
        <v>0</v>
      </c>
      <c r="L79" s="1" t="str">
        <f>IF(K79=TRUE,ROWS($J$3:J79),"")</f>
        <v/>
      </c>
      <c r="M79" s="1" t="str">
        <f>IFERROR(SMALL($L$3:$L$228,ROWS($L$3:L79)),"")</f>
        <v/>
      </c>
      <c r="N79" s="1" t="str">
        <f>IF(M79&lt;&gt;"",INDEX($G$3:$I$228,MATCH($M79,$L$3:$L$228,0),COLUMNS($L$3:L79)),"")</f>
        <v/>
      </c>
      <c r="O79" s="3" t="str">
        <f>IF(N79&lt;&gt;"",INDEX($G$3:$I$228,MATCH($M79,$L$3:$L$228,0),COLUMNS($L$3:M79)),"")</f>
        <v/>
      </c>
      <c r="P79" s="1" t="str">
        <f>IF(O79&lt;&gt;"",INDEX($G$3:$I$228,MATCH($M79,$L$3:$L$228,0),COLUMNS($L$3:N79)),"")</f>
        <v/>
      </c>
      <c r="S79" s="1" t="b">
        <f t="shared" si="4"/>
        <v>0</v>
      </c>
      <c r="T79" s="1" t="str">
        <f>IF(S79=TRUE,ROWS($S$3:S79),"")</f>
        <v/>
      </c>
      <c r="U79" s="1" t="str">
        <f>IFERROR(SMALL($T$3:$T$228,ROWS($T$3:T79)),"")</f>
        <v/>
      </c>
      <c r="V79" s="1" t="str">
        <f>IF(U79&lt;&gt;"",INDEX($G$3:$I$228,MATCH($U79,$T$3:$T$228,0),COLUMNS($U$3:U79)),"")</f>
        <v/>
      </c>
      <c r="W79" s="1" t="str">
        <f>IF(V79&lt;&gt;"",INDEX($G$3:$I$228,MATCH($U79,$T$3:$T$228,0),COLUMNS($U$3:V79)),"")</f>
        <v/>
      </c>
      <c r="X79" s="1" t="str">
        <f>IF(W79&lt;&gt;"",INDEX($G$3:$I$228,MATCH($U79,$T$3:$T$228,0),COLUMNS($U$3:W79)),"")</f>
        <v/>
      </c>
      <c r="Z79" s="1" t="b">
        <f t="shared" si="5"/>
        <v>1</v>
      </c>
      <c r="AA79" s="1">
        <f>IF(Z79=TRUE,ROWS($Z$3:Z79),"")</f>
        <v>77</v>
      </c>
      <c r="AB79" s="1">
        <f>IFERROR(SMALL($AA$3:$AA$228,ROWS($AA$3:AA79)),"")</f>
        <v>77</v>
      </c>
      <c r="AC79" s="1" t="str">
        <f>IF(AB79&lt;&gt;"",INDEX($G$3:$I$228,MATCH($AB79,$AA$3:$AA$228,0),COLUMNS($AA$3:AA79)),"")</f>
        <v>Quickmart Ruai</v>
      </c>
      <c r="AD79" s="1">
        <f>IF(AC79&lt;&gt;"",INDEX($G$3:$I$228,MATCH($AB79,$AA$3:$AA$228,0),COLUMNS($AA$3:AB79)),"")</f>
        <v>99730.41</v>
      </c>
      <c r="AE79" s="1" t="str">
        <f>IF(AD79&lt;&gt;"",INDEX($G$3:$I$228,MATCH($AB79,$AA$3:$AA$228,0),COLUMNS($AA$3:AC79)),"")</f>
        <v>Nairobi</v>
      </c>
    </row>
    <row r="80" spans="1:31" x14ac:dyDescent="0.2">
      <c r="A80" s="2">
        <v>44747</v>
      </c>
      <c r="B80" s="1" t="s">
        <v>95</v>
      </c>
      <c r="C80" s="1" t="s">
        <v>252</v>
      </c>
      <c r="D80" s="1">
        <v>132689</v>
      </c>
      <c r="E80" s="3">
        <v>134542.73000000001</v>
      </c>
      <c r="F80" s="1" t="s">
        <v>4</v>
      </c>
      <c r="G80" s="1" t="s">
        <v>106</v>
      </c>
      <c r="H80" s="3">
        <f>SUMIFS(Table1[Value],Table1[Outlets],G80)</f>
        <v>99540.76999999999</v>
      </c>
      <c r="I80" s="1" t="str">
        <f>IFERROR(VLOOKUP(G80,Table1[[Outlets]:[Region]],2,0),"")</f>
        <v>Nairobi</v>
      </c>
      <c r="K80" s="1" t="b">
        <f t="shared" si="3"/>
        <v>0</v>
      </c>
      <c r="L80" s="1" t="str">
        <f>IF(K80=TRUE,ROWS($J$3:J80),"")</f>
        <v/>
      </c>
      <c r="M80" s="1" t="str">
        <f>IFERROR(SMALL($L$3:$L$228,ROWS($L$3:L80)),"")</f>
        <v/>
      </c>
      <c r="N80" s="1" t="str">
        <f>IF(M80&lt;&gt;"",INDEX($G$3:$I$228,MATCH($M80,$L$3:$L$228,0),COLUMNS($L$3:L80)),"")</f>
        <v/>
      </c>
      <c r="O80" s="3" t="str">
        <f>IF(N80&lt;&gt;"",INDEX($G$3:$I$228,MATCH($M80,$L$3:$L$228,0),COLUMNS($L$3:M80)),"")</f>
        <v/>
      </c>
      <c r="P80" s="1" t="str">
        <f>IF(O80&lt;&gt;"",INDEX($G$3:$I$228,MATCH($M80,$L$3:$L$228,0),COLUMNS($L$3:N80)),"")</f>
        <v/>
      </c>
      <c r="S80" s="1" t="b">
        <f t="shared" si="4"/>
        <v>0</v>
      </c>
      <c r="T80" s="1" t="str">
        <f>IF(S80=TRUE,ROWS($S$3:S80),"")</f>
        <v/>
      </c>
      <c r="U80" s="1" t="str">
        <f>IFERROR(SMALL($T$3:$T$228,ROWS($T$3:T80)),"")</f>
        <v/>
      </c>
      <c r="V80" s="1" t="str">
        <f>IF(U80&lt;&gt;"",INDEX($G$3:$I$228,MATCH($U80,$T$3:$T$228,0),COLUMNS($U$3:U80)),"")</f>
        <v/>
      </c>
      <c r="W80" s="1" t="str">
        <f>IF(V80&lt;&gt;"",INDEX($G$3:$I$228,MATCH($U80,$T$3:$T$228,0),COLUMNS($U$3:V80)),"")</f>
        <v/>
      </c>
      <c r="X80" s="1" t="str">
        <f>IF(W80&lt;&gt;"",INDEX($G$3:$I$228,MATCH($U80,$T$3:$T$228,0),COLUMNS($U$3:W80)),"")</f>
        <v/>
      </c>
      <c r="Z80" s="1" t="b">
        <f t="shared" si="5"/>
        <v>1</v>
      </c>
      <c r="AA80" s="1">
        <f>IF(Z80=TRUE,ROWS($Z$3:Z80),"")</f>
        <v>78</v>
      </c>
      <c r="AB80" s="1">
        <f>IFERROR(SMALL($AA$3:$AA$228,ROWS($AA$3:AA80)),"")</f>
        <v>78</v>
      </c>
      <c r="AC80" s="1" t="str">
        <f>IF(AB80&lt;&gt;"",INDEX($G$3:$I$228,MATCH($AB80,$AA$3:$AA$228,0),COLUMNS($AA$3:AA80)),"")</f>
        <v>Quickmart Kitengela</v>
      </c>
      <c r="AD80" s="1">
        <f>IF(AC80&lt;&gt;"",INDEX($G$3:$I$228,MATCH($AB80,$AA$3:$AA$228,0),COLUMNS($AA$3:AB80)),"")</f>
        <v>99540.76999999999</v>
      </c>
      <c r="AE80" s="1" t="str">
        <f>IF(AD80&lt;&gt;"",INDEX($G$3:$I$228,MATCH($AB80,$AA$3:$AA$228,0),COLUMNS($AA$3:AC80)),"")</f>
        <v>Nairobi</v>
      </c>
    </row>
    <row r="81" spans="1:31" x14ac:dyDescent="0.2">
      <c r="A81" s="2">
        <v>44748</v>
      </c>
      <c r="B81" s="1" t="s">
        <v>96</v>
      </c>
      <c r="C81" s="1" t="s">
        <v>3</v>
      </c>
      <c r="D81" s="1">
        <v>132706</v>
      </c>
      <c r="E81" s="3">
        <v>77643.649999999994</v>
      </c>
      <c r="F81" s="1" t="s">
        <v>9</v>
      </c>
      <c r="G81" s="1" t="s">
        <v>177</v>
      </c>
      <c r="H81" s="3">
        <f>SUMIFS(Table1[Value],Table1[Outlets],G81)</f>
        <v>98800.87</v>
      </c>
      <c r="I81" s="1" t="str">
        <f>IFERROR(VLOOKUP(G81,Table1[[Outlets]:[Region]],2,0),"")</f>
        <v>Coast</v>
      </c>
      <c r="K81" s="1" t="b">
        <f t="shared" si="3"/>
        <v>0</v>
      </c>
      <c r="L81" s="1" t="str">
        <f>IF(K81=TRUE,ROWS($J$3:J81),"")</f>
        <v/>
      </c>
      <c r="M81" s="1" t="str">
        <f>IFERROR(SMALL($L$3:$L$228,ROWS($L$3:L81)),"")</f>
        <v/>
      </c>
      <c r="N81" s="1" t="str">
        <f>IF(M81&lt;&gt;"",INDEX($G$3:$I$228,MATCH($M81,$L$3:$L$228,0),COLUMNS($L$3:L81)),"")</f>
        <v/>
      </c>
      <c r="O81" s="3" t="str">
        <f>IF(N81&lt;&gt;"",INDEX($G$3:$I$228,MATCH($M81,$L$3:$L$228,0),COLUMNS($L$3:M81)),"")</f>
        <v/>
      </c>
      <c r="P81" s="1" t="str">
        <f>IF(O81&lt;&gt;"",INDEX($G$3:$I$228,MATCH($M81,$L$3:$L$228,0),COLUMNS($L$3:N81)),"")</f>
        <v/>
      </c>
      <c r="S81" s="1" t="b">
        <f t="shared" si="4"/>
        <v>0</v>
      </c>
      <c r="T81" s="1" t="str">
        <f>IF(S81=TRUE,ROWS($S$3:S81),"")</f>
        <v/>
      </c>
      <c r="U81" s="1" t="str">
        <f>IFERROR(SMALL($T$3:$T$228,ROWS($T$3:T81)),"")</f>
        <v/>
      </c>
      <c r="V81" s="1" t="str">
        <f>IF(U81&lt;&gt;"",INDEX($G$3:$I$228,MATCH($U81,$T$3:$T$228,0),COLUMNS($U$3:U81)),"")</f>
        <v/>
      </c>
      <c r="W81" s="1" t="str">
        <f>IF(V81&lt;&gt;"",INDEX($G$3:$I$228,MATCH($U81,$T$3:$T$228,0),COLUMNS($U$3:V81)),"")</f>
        <v/>
      </c>
      <c r="X81" s="1" t="str">
        <f>IF(W81&lt;&gt;"",INDEX($G$3:$I$228,MATCH($U81,$T$3:$T$228,0),COLUMNS($U$3:W81)),"")</f>
        <v/>
      </c>
      <c r="Z81" s="1" t="b">
        <f t="shared" si="5"/>
        <v>1</v>
      </c>
      <c r="AA81" s="1">
        <f>IF(Z81=TRUE,ROWS($Z$3:Z81),"")</f>
        <v>79</v>
      </c>
      <c r="AB81" s="1">
        <f>IFERROR(SMALL($AA$3:$AA$228,ROWS($AA$3:AA81)),"")</f>
        <v>79</v>
      </c>
      <c r="AC81" s="1" t="str">
        <f>IF(AB81&lt;&gt;"",INDEX($G$3:$I$228,MATCH($AB81,$AA$3:$AA$228,0),COLUMNS($AA$3:AA81)),"")</f>
        <v>Quickmart Mtwapa Mall</v>
      </c>
      <c r="AD81" s="1">
        <f>IF(AC81&lt;&gt;"",INDEX($G$3:$I$228,MATCH($AB81,$AA$3:$AA$228,0),COLUMNS($AA$3:AB81)),"")</f>
        <v>98800.87</v>
      </c>
      <c r="AE81" s="1" t="str">
        <f>IF(AD81&lt;&gt;"",INDEX($G$3:$I$228,MATCH($AB81,$AA$3:$AA$228,0),COLUMNS($AA$3:AC81)),"")</f>
        <v>Coast</v>
      </c>
    </row>
    <row r="82" spans="1:31" x14ac:dyDescent="0.2">
      <c r="A82" s="2">
        <v>44748</v>
      </c>
      <c r="B82" s="1" t="s">
        <v>97</v>
      </c>
      <c r="C82" s="1" t="s">
        <v>3</v>
      </c>
      <c r="D82" s="1">
        <v>132707</v>
      </c>
      <c r="E82" s="3">
        <v>42337.05</v>
      </c>
      <c r="F82" s="1" t="s">
        <v>9</v>
      </c>
      <c r="G82" s="1" t="s">
        <v>84</v>
      </c>
      <c r="H82" s="3">
        <f>SUMIFS(Table1[Value],Table1[Outlets],G82)</f>
        <v>97353.96</v>
      </c>
      <c r="I82" s="1" t="str">
        <f>IFERROR(VLOOKUP(G82,Table1[[Outlets]:[Region]],2,0),"")</f>
        <v>Nairobi</v>
      </c>
      <c r="K82" s="1" t="b">
        <f t="shared" si="3"/>
        <v>0</v>
      </c>
      <c r="L82" s="1" t="str">
        <f>IF(K82=TRUE,ROWS($J$3:J82),"")</f>
        <v/>
      </c>
      <c r="M82" s="1" t="str">
        <f>IFERROR(SMALL($L$3:$L$228,ROWS($L$3:L82)),"")</f>
        <v/>
      </c>
      <c r="N82" s="1" t="str">
        <f>IF(M82&lt;&gt;"",INDEX($G$3:$I$228,MATCH($M82,$L$3:$L$228,0),COLUMNS($L$3:L82)),"")</f>
        <v/>
      </c>
      <c r="O82" s="3" t="str">
        <f>IF(N82&lt;&gt;"",INDEX($G$3:$I$228,MATCH($M82,$L$3:$L$228,0),COLUMNS($L$3:M82)),"")</f>
        <v/>
      </c>
      <c r="P82" s="1" t="str">
        <f>IF(O82&lt;&gt;"",INDEX($G$3:$I$228,MATCH($M82,$L$3:$L$228,0),COLUMNS($L$3:N82)),"")</f>
        <v/>
      </c>
      <c r="S82" s="1" t="b">
        <f t="shared" si="4"/>
        <v>0</v>
      </c>
      <c r="T82" s="1" t="str">
        <f>IF(S82=TRUE,ROWS($S$3:S82),"")</f>
        <v/>
      </c>
      <c r="U82" s="1" t="str">
        <f>IFERROR(SMALL($T$3:$T$228,ROWS($T$3:T82)),"")</f>
        <v/>
      </c>
      <c r="V82" s="1" t="str">
        <f>IF(U82&lt;&gt;"",INDEX($G$3:$I$228,MATCH($U82,$T$3:$T$228,0),COLUMNS($U$3:U82)),"")</f>
        <v/>
      </c>
      <c r="W82" s="1" t="str">
        <f>IF(V82&lt;&gt;"",INDEX($G$3:$I$228,MATCH($U82,$T$3:$T$228,0),COLUMNS($U$3:V82)),"")</f>
        <v/>
      </c>
      <c r="X82" s="1" t="str">
        <f>IF(W82&lt;&gt;"",INDEX($G$3:$I$228,MATCH($U82,$T$3:$T$228,0),COLUMNS($U$3:W82)),"")</f>
        <v/>
      </c>
      <c r="Z82" s="1" t="b">
        <f t="shared" si="5"/>
        <v>1</v>
      </c>
      <c r="AA82" s="1">
        <f>IF(Z82=TRUE,ROWS($Z$3:Z82),"")</f>
        <v>80</v>
      </c>
      <c r="AB82" s="1">
        <f>IFERROR(SMALL($AA$3:$AA$228,ROWS($AA$3:AA82)),"")</f>
        <v>80</v>
      </c>
      <c r="AC82" s="1" t="str">
        <f>IF(AB82&lt;&gt;"",INDEX($G$3:$I$228,MATCH($AB82,$AA$3:$AA$228,0),COLUMNS($AA$3:AA82)),"")</f>
        <v>Naivas Kitengela Mall</v>
      </c>
      <c r="AD82" s="1">
        <f>IF(AC82&lt;&gt;"",INDEX($G$3:$I$228,MATCH($AB82,$AA$3:$AA$228,0),COLUMNS($AA$3:AB82)),"")</f>
        <v>97353.96</v>
      </c>
      <c r="AE82" s="1" t="str">
        <f>IF(AD82&lt;&gt;"",INDEX($G$3:$I$228,MATCH($AB82,$AA$3:$AA$228,0),COLUMNS($AA$3:AC82)),"")</f>
        <v>Nairobi</v>
      </c>
    </row>
    <row r="83" spans="1:31" x14ac:dyDescent="0.2">
      <c r="A83" s="2">
        <v>44748</v>
      </c>
      <c r="B83" s="1" t="s">
        <v>98</v>
      </c>
      <c r="C83" s="1" t="s">
        <v>3</v>
      </c>
      <c r="D83" s="1">
        <v>132708</v>
      </c>
      <c r="E83" s="3">
        <v>25189.85</v>
      </c>
      <c r="F83" s="1" t="s">
        <v>9</v>
      </c>
      <c r="G83" s="1" t="s">
        <v>105</v>
      </c>
      <c r="H83" s="3">
        <f>SUMIFS(Table1[Value],Table1[Outlets],G83)</f>
        <v>96549.9</v>
      </c>
      <c r="I83" s="1" t="str">
        <f>IFERROR(VLOOKUP(G83,Table1[[Outlets]:[Region]],2,0),"")</f>
        <v>Nairobi</v>
      </c>
      <c r="K83" s="1" t="b">
        <f t="shared" si="3"/>
        <v>0</v>
      </c>
      <c r="L83" s="1" t="str">
        <f>IF(K83=TRUE,ROWS($J$3:J83),"")</f>
        <v/>
      </c>
      <c r="M83" s="1" t="str">
        <f>IFERROR(SMALL($L$3:$L$228,ROWS($L$3:L83)),"")</f>
        <v/>
      </c>
      <c r="O83" s="3" t="str">
        <f>IF(N83&lt;&gt;"",INDEX($G$3:$I$228,MATCH($M83,$L$3:$L$228,0),COLUMNS($L$3:M83)),"")</f>
        <v/>
      </c>
      <c r="P83" s="1" t="str">
        <f>IF(O83&lt;&gt;"",INDEX($G$3:$I$228,MATCH($M83,$L$3:$L$228,0),COLUMNS($L$3:N83)),"")</f>
        <v/>
      </c>
      <c r="S83" s="1" t="b">
        <f t="shared" si="4"/>
        <v>0</v>
      </c>
      <c r="T83" s="1" t="str">
        <f>IF(S83=TRUE,ROWS($S$3:S83),"")</f>
        <v/>
      </c>
      <c r="U83" s="1" t="str">
        <f>IFERROR(SMALL($T$3:$T$228,ROWS($T$3:T83)),"")</f>
        <v/>
      </c>
      <c r="V83" s="1" t="str">
        <f>IF(U83&lt;&gt;"",INDEX($G$3:$I$228,MATCH($U83,$T$3:$T$228,0),COLUMNS($U$3:U83)),"")</f>
        <v/>
      </c>
      <c r="W83" s="1" t="str">
        <f>IF(V83&lt;&gt;"",INDEX($G$3:$I$228,MATCH($U83,$T$3:$T$228,0),COLUMNS($U$3:V83)),"")</f>
        <v/>
      </c>
      <c r="X83" s="1" t="str">
        <f>IF(W83&lt;&gt;"",INDEX($G$3:$I$228,MATCH($U83,$T$3:$T$228,0),COLUMNS($U$3:W83)),"")</f>
        <v/>
      </c>
      <c r="Z83" s="1" t="b">
        <f t="shared" si="5"/>
        <v>1</v>
      </c>
      <c r="AA83" s="1">
        <f>IF(Z83=TRUE,ROWS($Z$3:Z83),"")</f>
        <v>81</v>
      </c>
      <c r="AB83" s="1">
        <f>IFERROR(SMALL($AA$3:$AA$228,ROWS($AA$3:AA83)),"")</f>
        <v>81</v>
      </c>
      <c r="AC83" s="1" t="str">
        <f>IF(AB83&lt;&gt;"",INDEX($G$3:$I$228,MATCH($AB83,$AA$3:$AA$228,0),COLUMNS($AA$3:AA83)),"")</f>
        <v>Quickmart Mfangano</v>
      </c>
      <c r="AD83" s="1">
        <f>IF(AC83&lt;&gt;"",INDEX($G$3:$I$228,MATCH($AB83,$AA$3:$AA$228,0),COLUMNS($AA$3:AB83)),"")</f>
        <v>96549.9</v>
      </c>
      <c r="AE83" s="1" t="str">
        <f>IF(AD83&lt;&gt;"",INDEX($G$3:$I$228,MATCH($AB83,$AA$3:$AA$228,0),COLUMNS($AA$3:AC83)),"")</f>
        <v>Nairobi</v>
      </c>
    </row>
    <row r="84" spans="1:31" x14ac:dyDescent="0.2">
      <c r="A84" s="2">
        <v>44748</v>
      </c>
      <c r="B84" s="1" t="s">
        <v>99</v>
      </c>
      <c r="C84" s="1" t="s">
        <v>3</v>
      </c>
      <c r="D84" s="1">
        <v>132710</v>
      </c>
      <c r="E84" s="3">
        <v>10293.469999999999</v>
      </c>
      <c r="F84" s="1" t="s">
        <v>11</v>
      </c>
      <c r="G84" s="1" t="s">
        <v>187</v>
      </c>
      <c r="H84" s="3">
        <f>SUMIFS(Table1[Value],Table1[Outlets],G84)</f>
        <v>92674.91</v>
      </c>
      <c r="I84" s="1" t="str">
        <f>IFERROR(VLOOKUP(G84,Table1[[Outlets]:[Region]],2,0),"")</f>
        <v>Nairobi</v>
      </c>
      <c r="K84" s="1" t="b">
        <f t="shared" si="3"/>
        <v>0</v>
      </c>
      <c r="L84" s="1" t="str">
        <f>IF(K84=TRUE,ROWS($J$3:J84),"")</f>
        <v/>
      </c>
      <c r="M84" s="1" t="str">
        <f>IFERROR(SMALL($L$3:$L$228,ROWS($L$3:L84)),"")</f>
        <v/>
      </c>
      <c r="N84" s="1" t="str">
        <f>IF(M84&lt;&gt;"",INDEX($G$3:$I$228,MATCH($M84,$L$3:$L$228,0),COLUMNS($L$3:L84)),"")</f>
        <v/>
      </c>
      <c r="O84" s="3" t="str">
        <f>IF(N84&lt;&gt;"",INDEX($G$3:$I$228,MATCH($M84,$L$3:$L$228,0),COLUMNS($L$3:M84)),"")</f>
        <v/>
      </c>
      <c r="P84" s="1" t="str">
        <f>IF(O84&lt;&gt;"",INDEX($G$3:$I$228,MATCH($M84,$L$3:$L$228,0),COLUMNS($L$3:N84)),"")</f>
        <v/>
      </c>
      <c r="S84" s="1" t="b">
        <f t="shared" si="4"/>
        <v>0</v>
      </c>
      <c r="T84" s="1" t="str">
        <f>IF(S84=TRUE,ROWS($S$3:S84),"")</f>
        <v/>
      </c>
      <c r="U84" s="1" t="str">
        <f>IFERROR(SMALL($T$3:$T$228,ROWS($T$3:T84)),"")</f>
        <v/>
      </c>
      <c r="V84" s="1" t="str">
        <f>IF(U84&lt;&gt;"",INDEX($G$3:$I$228,MATCH($U84,$T$3:$T$228,0),COLUMNS($U$3:U84)),"")</f>
        <v/>
      </c>
      <c r="W84" s="1" t="str">
        <f>IF(V84&lt;&gt;"",INDEX($G$3:$I$228,MATCH($U84,$T$3:$T$228,0),COLUMNS($U$3:V84)),"")</f>
        <v/>
      </c>
      <c r="X84" s="1" t="str">
        <f>IF(W84&lt;&gt;"",INDEX($G$3:$I$228,MATCH($U84,$T$3:$T$228,0),COLUMNS($U$3:W84)),"")</f>
        <v/>
      </c>
      <c r="Z84" s="1" t="b">
        <f t="shared" si="5"/>
        <v>1</v>
      </c>
      <c r="AA84" s="1">
        <f>IF(Z84=TRUE,ROWS($Z$3:Z84),"")</f>
        <v>82</v>
      </c>
      <c r="AB84" s="1">
        <f>IFERROR(SMALL($AA$3:$AA$228,ROWS($AA$3:AA84)),"")</f>
        <v>82</v>
      </c>
      <c r="AC84" s="1" t="str">
        <f>IF(AB84&lt;&gt;"",INDEX($G$3:$I$228,MATCH($AB84,$AA$3:$AA$228,0),COLUMNS($AA$3:AA84)),"")</f>
        <v>Quickmart Chania</v>
      </c>
      <c r="AD84" s="1">
        <f>IF(AC84&lt;&gt;"",INDEX($G$3:$I$228,MATCH($AB84,$AA$3:$AA$228,0),COLUMNS($AA$3:AB84)),"")</f>
        <v>92674.91</v>
      </c>
      <c r="AE84" s="1" t="str">
        <f>IF(AD84&lt;&gt;"",INDEX($G$3:$I$228,MATCH($AB84,$AA$3:$AA$228,0),COLUMNS($AA$3:AC84)),"")</f>
        <v>Nairobi</v>
      </c>
    </row>
    <row r="85" spans="1:31" x14ac:dyDescent="0.2">
      <c r="A85" s="2">
        <v>44748</v>
      </c>
      <c r="B85" s="1" t="s">
        <v>100</v>
      </c>
      <c r="C85" s="1" t="s">
        <v>3</v>
      </c>
      <c r="D85" s="1">
        <v>132711</v>
      </c>
      <c r="E85" s="3">
        <v>66506.97</v>
      </c>
      <c r="F85" s="1" t="s">
        <v>9</v>
      </c>
      <c r="G85" s="1" t="s">
        <v>30</v>
      </c>
      <c r="H85" s="3">
        <f>SUMIFS(Table1[Value],Table1[Outlets],G85)</f>
        <v>91085.62</v>
      </c>
      <c r="I85" s="1" t="str">
        <f>IFERROR(VLOOKUP(G85,Table1[[Outlets]:[Region]],2,0),"")</f>
        <v>Nairobi</v>
      </c>
      <c r="K85" s="1" t="b">
        <f t="shared" si="3"/>
        <v>1</v>
      </c>
      <c r="L85" s="1">
        <f>IF(K85=TRUE,ROWS($J$3:J85),"")</f>
        <v>83</v>
      </c>
      <c r="M85" s="1" t="str">
        <f>IFERROR(SMALL($L$3:$L$228,ROWS($L$3:L85)),"")</f>
        <v/>
      </c>
      <c r="N85" s="1" t="str">
        <f>IF(M85&lt;&gt;"",INDEX($G$3:$I$228,MATCH($M85,$L$3:$L$228,0),COLUMNS($L$3:L85)),"")</f>
        <v/>
      </c>
      <c r="O85" s="3" t="str">
        <f>IF(N85&lt;&gt;"",INDEX($G$3:$I$228,MATCH($M85,$L$3:$L$228,0),COLUMNS($L$3:M85)),"")</f>
        <v/>
      </c>
      <c r="P85" s="1" t="str">
        <f>IF(O85&lt;&gt;"",INDEX($G$3:$I$228,MATCH($M85,$L$3:$L$228,0),COLUMNS($L$3:N85)),"")</f>
        <v/>
      </c>
      <c r="S85" s="1" t="b">
        <f t="shared" si="4"/>
        <v>0</v>
      </c>
      <c r="T85" s="1" t="str">
        <f>IF(S85=TRUE,ROWS($S$3:S85),"")</f>
        <v/>
      </c>
      <c r="U85" s="1" t="str">
        <f>IFERROR(SMALL($T$3:$T$228,ROWS($T$3:T85)),"")</f>
        <v/>
      </c>
      <c r="V85" s="1" t="str">
        <f>IF(U85&lt;&gt;"",INDEX($G$3:$I$228,MATCH($U85,$T$3:$T$228,0),COLUMNS($U$3:U85)),"")</f>
        <v/>
      </c>
      <c r="W85" s="1" t="str">
        <f>IF(V85&lt;&gt;"",INDEX($G$3:$I$228,MATCH($U85,$T$3:$T$228,0),COLUMNS($U$3:V85)),"")</f>
        <v/>
      </c>
      <c r="X85" s="1" t="str">
        <f>IF(W85&lt;&gt;"",INDEX($G$3:$I$228,MATCH($U85,$T$3:$T$228,0),COLUMNS($U$3:W85)),"")</f>
        <v/>
      </c>
      <c r="Z85" s="1" t="b">
        <f t="shared" si="5"/>
        <v>1</v>
      </c>
      <c r="AA85" s="1">
        <f>IF(Z85=TRUE,ROWS($Z$3:Z85),"")</f>
        <v>83</v>
      </c>
      <c r="AB85" s="1">
        <f>IFERROR(SMALL($AA$3:$AA$228,ROWS($AA$3:AA85)),"")</f>
        <v>83</v>
      </c>
      <c r="AC85" s="1" t="str">
        <f>IF(AB85&lt;&gt;"",INDEX($G$3:$I$228,MATCH($AB85,$AA$3:$AA$228,0),COLUMNS($AA$3:AA85)),"")</f>
        <v>Chandarana Well</v>
      </c>
      <c r="AD85" s="1">
        <f>IF(AC85&lt;&gt;"",INDEX($G$3:$I$228,MATCH($AB85,$AA$3:$AA$228,0),COLUMNS($AA$3:AB85)),"")</f>
        <v>91085.62</v>
      </c>
      <c r="AE85" s="1" t="str">
        <f>IF(AD85&lt;&gt;"",INDEX($G$3:$I$228,MATCH($AB85,$AA$3:$AA$228,0),COLUMNS($AA$3:AC85)),"")</f>
        <v>Nairobi</v>
      </c>
    </row>
    <row r="86" spans="1:31" x14ac:dyDescent="0.2">
      <c r="A86" s="2">
        <v>44748</v>
      </c>
      <c r="B86" s="1" t="s">
        <v>101</v>
      </c>
      <c r="C86" s="1" t="s">
        <v>3</v>
      </c>
      <c r="D86" s="1">
        <v>132712</v>
      </c>
      <c r="E86" s="3">
        <v>119775</v>
      </c>
      <c r="F86" s="1" t="s">
        <v>9</v>
      </c>
      <c r="G86" s="1" t="s">
        <v>104</v>
      </c>
      <c r="H86" s="3">
        <f>SUMIFS(Table1[Value],Table1[Outlets],G86)</f>
        <v>90792.209999999992</v>
      </c>
      <c r="I86" s="1" t="str">
        <f>IFERROR(VLOOKUP(G86,Table1[[Outlets]:[Region]],2,0),"")</f>
        <v>Nairobi</v>
      </c>
      <c r="K86" s="1" t="b">
        <f t="shared" si="3"/>
        <v>0</v>
      </c>
      <c r="L86" s="1" t="str">
        <f>IF(K86=TRUE,ROWS($J$3:J86),"")</f>
        <v/>
      </c>
      <c r="M86" s="1" t="str">
        <f>IFERROR(SMALL($L$3:$L$228,ROWS($L$3:L86)),"")</f>
        <v/>
      </c>
      <c r="N86" s="1" t="str">
        <f>IF(M86&lt;&gt;"",INDEX($G$3:$I$228,MATCH($M86,$L$3:$L$228,0),COLUMNS($L$3:L86)),"")</f>
        <v/>
      </c>
      <c r="O86" s="3" t="str">
        <f>IF(N86&lt;&gt;"",INDEX($G$3:$I$228,MATCH($M86,$L$3:$L$228,0),COLUMNS($L$3:M86)),"")</f>
        <v/>
      </c>
      <c r="P86" s="1" t="str">
        <f>IF(O86&lt;&gt;"",INDEX($G$3:$I$228,MATCH($M86,$L$3:$L$228,0),COLUMNS($L$3:N86)),"")</f>
        <v/>
      </c>
      <c r="S86" s="1" t="b">
        <f t="shared" si="4"/>
        <v>0</v>
      </c>
      <c r="T86" s="1" t="str">
        <f>IF(S86=TRUE,ROWS($S$3:S86),"")</f>
        <v/>
      </c>
      <c r="U86" s="1" t="str">
        <f>IFERROR(SMALL($T$3:$T$228,ROWS($T$3:T86)),"")</f>
        <v/>
      </c>
      <c r="V86" s="1" t="str">
        <f>IF(U86&lt;&gt;"",INDEX($G$3:$I$228,MATCH($U86,$T$3:$T$228,0),COLUMNS($U$3:U86)),"")</f>
        <v/>
      </c>
      <c r="W86" s="1" t="str">
        <f>IF(V86&lt;&gt;"",INDEX($G$3:$I$228,MATCH($U86,$T$3:$T$228,0),COLUMNS($U$3:V86)),"")</f>
        <v/>
      </c>
      <c r="X86" s="1" t="str">
        <f>IF(W86&lt;&gt;"",INDEX($G$3:$I$228,MATCH($U86,$T$3:$T$228,0),COLUMNS($U$3:W86)),"")</f>
        <v/>
      </c>
      <c r="Z86" s="1" t="b">
        <f t="shared" si="5"/>
        <v>1</v>
      </c>
      <c r="AA86" s="1">
        <f>IF(Z86=TRUE,ROWS($Z$3:Z86),"")</f>
        <v>84</v>
      </c>
      <c r="AB86" s="1">
        <f>IFERROR(SMALL($AA$3:$AA$228,ROWS($AA$3:AA86)),"")</f>
        <v>84</v>
      </c>
      <c r="AC86" s="1" t="str">
        <f>IF(AB86&lt;&gt;"",INDEX($G$3:$I$228,MATCH($AB86,$AA$3:$AA$228,0),COLUMNS($AA$3:AA86)),"")</f>
        <v>Naivas Prestige</v>
      </c>
      <c r="AD86" s="1">
        <f>IF(AC86&lt;&gt;"",INDEX($G$3:$I$228,MATCH($AB86,$AA$3:$AA$228,0),COLUMNS($AA$3:AB86)),"")</f>
        <v>90792.209999999992</v>
      </c>
      <c r="AE86" s="1" t="str">
        <f>IF(AD86&lt;&gt;"",INDEX($G$3:$I$228,MATCH($AB86,$AA$3:$AA$228,0),COLUMNS($AA$3:AC86)),"")</f>
        <v>Nairobi</v>
      </c>
    </row>
    <row r="87" spans="1:31" x14ac:dyDescent="0.2">
      <c r="A87" s="2">
        <v>44748</v>
      </c>
      <c r="B87" s="1" t="s">
        <v>55</v>
      </c>
      <c r="C87" s="1" t="s">
        <v>3</v>
      </c>
      <c r="D87" s="1">
        <v>132713</v>
      </c>
      <c r="E87" s="3">
        <v>76140.34</v>
      </c>
      <c r="F87" s="1" t="s">
        <v>9</v>
      </c>
      <c r="G87" s="1" t="s">
        <v>108</v>
      </c>
      <c r="H87" s="3">
        <f>SUMIFS(Table1[Value],Table1[Outlets],G87)</f>
        <v>89962.65</v>
      </c>
      <c r="I87" s="1" t="str">
        <f>IFERROR(VLOOKUP(G87,Table1[[Outlets]:[Region]],2,0),"")</f>
        <v>Nairobi</v>
      </c>
      <c r="K87" s="1" t="b">
        <f t="shared" si="3"/>
        <v>0</v>
      </c>
      <c r="L87" s="1" t="str">
        <f>IF(K87=TRUE,ROWS($J$3:J87),"")</f>
        <v/>
      </c>
      <c r="M87" s="1" t="str">
        <f>IFERROR(SMALL($L$3:$L$228,ROWS($L$3:L87)),"")</f>
        <v/>
      </c>
      <c r="N87" s="1" t="str">
        <f>IF(M87&lt;&gt;"",INDEX($G$3:$I$228,MATCH($M87,$L$3:$L$228,0),COLUMNS($L$3:L87)),"")</f>
        <v/>
      </c>
      <c r="O87" s="3" t="str">
        <f>IF(N87&lt;&gt;"",INDEX($G$3:$I$228,MATCH($M87,$L$3:$L$228,0),COLUMNS($L$3:M87)),"")</f>
        <v/>
      </c>
      <c r="P87" s="1" t="str">
        <f>IF(O87&lt;&gt;"",INDEX($G$3:$I$228,MATCH($M87,$L$3:$L$228,0),COLUMNS($L$3:N87)),"")</f>
        <v/>
      </c>
      <c r="S87" s="1" t="b">
        <f t="shared" si="4"/>
        <v>0</v>
      </c>
      <c r="T87" s="1" t="str">
        <f>IF(S87=TRUE,ROWS($S$3:S87),"")</f>
        <v/>
      </c>
      <c r="U87" s="1" t="str">
        <f>IFERROR(SMALL($T$3:$T$228,ROWS($T$3:T87)),"")</f>
        <v/>
      </c>
      <c r="V87" s="1" t="str">
        <f>IF(U87&lt;&gt;"",INDEX($G$3:$I$228,MATCH($U87,$T$3:$T$228,0),COLUMNS($U$3:U87)),"")</f>
        <v/>
      </c>
      <c r="W87" s="1" t="str">
        <f>IF(V87&lt;&gt;"",INDEX($G$3:$I$228,MATCH($U87,$T$3:$T$228,0),COLUMNS($U$3:V87)),"")</f>
        <v/>
      </c>
      <c r="X87" s="1" t="str">
        <f>IF(W87&lt;&gt;"",INDEX($G$3:$I$228,MATCH($U87,$T$3:$T$228,0),COLUMNS($U$3:W87)),"")</f>
        <v/>
      </c>
      <c r="Z87" s="1" t="b">
        <f t="shared" si="5"/>
        <v>1</v>
      </c>
      <c r="AA87" s="1">
        <f>IF(Z87=TRUE,ROWS($Z$3:Z87),"")</f>
        <v>85</v>
      </c>
      <c r="AB87" s="1">
        <f>IFERROR(SMALL($AA$3:$AA$228,ROWS($AA$3:AA87)),"")</f>
        <v>85</v>
      </c>
      <c r="AC87" s="1" t="str">
        <f>IF(AB87&lt;&gt;"",INDEX($G$3:$I$228,MATCH($AB87,$AA$3:$AA$228,0),COLUMNS($AA$3:AA87)),"")</f>
        <v>Quickmart Highway Mlolongo</v>
      </c>
      <c r="AD87" s="1">
        <f>IF(AC87&lt;&gt;"",INDEX($G$3:$I$228,MATCH($AB87,$AA$3:$AA$228,0),COLUMNS($AA$3:AB87)),"")</f>
        <v>89962.65</v>
      </c>
      <c r="AE87" s="1" t="str">
        <f>IF(AD87&lt;&gt;"",INDEX($G$3:$I$228,MATCH($AB87,$AA$3:$AA$228,0),COLUMNS($AA$3:AC87)),"")</f>
        <v>Nairobi</v>
      </c>
    </row>
    <row r="88" spans="1:31" x14ac:dyDescent="0.2">
      <c r="A88" s="2">
        <v>44748</v>
      </c>
      <c r="B88" s="1" t="s">
        <v>102</v>
      </c>
      <c r="C88" s="1" t="s">
        <v>3</v>
      </c>
      <c r="D88" s="1">
        <v>132717</v>
      </c>
      <c r="E88" s="3">
        <v>87871.02</v>
      </c>
      <c r="F88" s="1" t="s">
        <v>8</v>
      </c>
      <c r="G88" s="1" t="s">
        <v>173</v>
      </c>
      <c r="H88" s="3">
        <f>SUMIFS(Table1[Value],Table1[Outlets],G88)</f>
        <v>89113.1</v>
      </c>
      <c r="I88" s="1" t="str">
        <f>IFERROR(VLOOKUP(G88,Table1[[Outlets]:[Region]],2,0),"")</f>
        <v>Coast</v>
      </c>
      <c r="K88" s="1" t="b">
        <f t="shared" si="3"/>
        <v>1</v>
      </c>
      <c r="L88" s="1">
        <f>IF(K88=TRUE,ROWS($J$3:J88),"")</f>
        <v>86</v>
      </c>
      <c r="M88" s="1" t="str">
        <f>IFERROR(SMALL($L$3:$L$228,ROWS($L$3:L88)),"")</f>
        <v/>
      </c>
      <c r="N88" s="1" t="str">
        <f>IF(M88&lt;&gt;"",INDEX($G$3:$I$228,MATCH($M88,$L$3:$L$228,0),COLUMNS($L$3:L88)),"")</f>
        <v/>
      </c>
      <c r="O88" s="3" t="str">
        <f>IF(N88&lt;&gt;"",INDEX($G$3:$I$228,MATCH($M88,$L$3:$L$228,0),COLUMNS($L$3:M88)),"")</f>
        <v/>
      </c>
      <c r="P88" s="1" t="str">
        <f>IF(O88&lt;&gt;"",INDEX($G$3:$I$228,MATCH($M88,$L$3:$L$228,0),COLUMNS($L$3:N88)),"")</f>
        <v/>
      </c>
      <c r="S88" s="1" t="b">
        <f t="shared" si="4"/>
        <v>0</v>
      </c>
      <c r="T88" s="1" t="str">
        <f>IF(S88=TRUE,ROWS($S$3:S88),"")</f>
        <v/>
      </c>
      <c r="U88" s="1" t="str">
        <f>IFERROR(SMALL($T$3:$T$228,ROWS($T$3:T88)),"")</f>
        <v/>
      </c>
      <c r="V88" s="1" t="str">
        <f>IF(U88&lt;&gt;"",INDEX($G$3:$I$228,MATCH($U88,$T$3:$T$228,0),COLUMNS($U$3:U88)),"")</f>
        <v/>
      </c>
      <c r="W88" s="1" t="str">
        <f>IF(V88&lt;&gt;"",INDEX($G$3:$I$228,MATCH($U88,$T$3:$T$228,0),COLUMNS($U$3:V88)),"")</f>
        <v/>
      </c>
      <c r="X88" s="1" t="str">
        <f>IF(W88&lt;&gt;"",INDEX($G$3:$I$228,MATCH($U88,$T$3:$T$228,0),COLUMNS($U$3:W88)),"")</f>
        <v/>
      </c>
      <c r="Z88" s="1" t="b">
        <f t="shared" si="5"/>
        <v>1</v>
      </c>
      <c r="AA88" s="1">
        <f>IF(Z88=TRUE,ROWS($Z$3:Z88),"")</f>
        <v>86</v>
      </c>
      <c r="AB88" s="1">
        <f>IFERROR(SMALL($AA$3:$AA$228,ROWS($AA$3:AA88)),"")</f>
        <v>86</v>
      </c>
      <c r="AC88" s="1" t="str">
        <f>IF(AB88&lt;&gt;"",INDEX($G$3:$I$228,MATCH($AB88,$AA$3:$AA$228,0),COLUMNS($AA$3:AA88)),"")</f>
        <v>Chandarana Airport</v>
      </c>
      <c r="AD88" s="1">
        <f>IF(AC88&lt;&gt;"",INDEX($G$3:$I$228,MATCH($AB88,$AA$3:$AA$228,0),COLUMNS($AA$3:AB88)),"")</f>
        <v>89113.1</v>
      </c>
      <c r="AE88" s="1" t="str">
        <f>IF(AD88&lt;&gt;"",INDEX($G$3:$I$228,MATCH($AB88,$AA$3:$AA$228,0),COLUMNS($AA$3:AC88)),"")</f>
        <v>Coast</v>
      </c>
    </row>
    <row r="89" spans="1:31" x14ac:dyDescent="0.2">
      <c r="A89" s="2">
        <v>44748</v>
      </c>
      <c r="B89" s="1" t="s">
        <v>103</v>
      </c>
      <c r="C89" s="1" t="s">
        <v>3</v>
      </c>
      <c r="D89" s="1">
        <v>132720</v>
      </c>
      <c r="E89" s="3">
        <v>18892.27</v>
      </c>
      <c r="F89" s="1" t="s">
        <v>11</v>
      </c>
      <c r="G89" s="1" t="s">
        <v>235</v>
      </c>
      <c r="H89" s="3">
        <f>SUMIFS(Table1[Value],Table1[Outlets],G89)</f>
        <v>86808.19</v>
      </c>
      <c r="I89" s="1" t="str">
        <f>IFERROR(VLOOKUP(G89,Table1[[Outlets]:[Region]],2,0),"")</f>
        <v>Nairobi</v>
      </c>
      <c r="K89" s="1" t="b">
        <f t="shared" si="3"/>
        <v>1</v>
      </c>
      <c r="L89" s="1">
        <f>IF(K89=TRUE,ROWS($J$3:J89),"")</f>
        <v>87</v>
      </c>
      <c r="M89" s="1" t="str">
        <f>IFERROR(SMALL($L$3:$L$228,ROWS($L$3:L89)),"")</f>
        <v/>
      </c>
      <c r="N89" s="1" t="str">
        <f>IF(M89&lt;&gt;"",INDEX($G$3:$I$228,MATCH($M89,$L$3:$L$228,0),COLUMNS($L$3:L89)),"")</f>
        <v/>
      </c>
      <c r="O89" s="3" t="str">
        <f>IF(N89&lt;&gt;"",INDEX($G$3:$I$228,MATCH($M89,$L$3:$L$228,0),COLUMNS($L$3:M89)),"")</f>
        <v/>
      </c>
      <c r="P89" s="1" t="str">
        <f>IF(O89&lt;&gt;"",INDEX($G$3:$I$228,MATCH($M89,$L$3:$L$228,0),COLUMNS($L$3:N89)),"")</f>
        <v/>
      </c>
      <c r="S89" s="1" t="b">
        <f t="shared" si="4"/>
        <v>0</v>
      </c>
      <c r="T89" s="1" t="str">
        <f>IF(S89=TRUE,ROWS($S$3:S89),"")</f>
        <v/>
      </c>
      <c r="U89" s="1" t="str">
        <f>IFERROR(SMALL($T$3:$T$228,ROWS($T$3:T89)),"")</f>
        <v/>
      </c>
      <c r="V89" s="1" t="str">
        <f>IF(U89&lt;&gt;"",INDEX($G$3:$I$228,MATCH($U89,$T$3:$T$228,0),COLUMNS($U$3:U89)),"")</f>
        <v/>
      </c>
      <c r="W89" s="1" t="str">
        <f>IF(V89&lt;&gt;"",INDEX($G$3:$I$228,MATCH($U89,$T$3:$T$228,0),COLUMNS($U$3:V89)),"")</f>
        <v/>
      </c>
      <c r="X89" s="1" t="str">
        <f>IF(W89&lt;&gt;"",INDEX($G$3:$I$228,MATCH($U89,$T$3:$T$228,0),COLUMNS($U$3:W89)),"")</f>
        <v/>
      </c>
      <c r="Z89" s="1" t="b">
        <f t="shared" si="5"/>
        <v>1</v>
      </c>
      <c r="AA89" s="1">
        <f>IF(Z89=TRUE,ROWS($Z$3:Z89),"")</f>
        <v>87</v>
      </c>
      <c r="AB89" s="1">
        <f>IFERROR(SMALL($AA$3:$AA$228,ROWS($AA$3:AA89)),"")</f>
        <v>87</v>
      </c>
      <c r="AC89" s="1" t="str">
        <f>IF(AB89&lt;&gt;"",INDEX($G$3:$I$228,MATCH($AB89,$AA$3:$AA$228,0),COLUMNS($AA$3:AA89)),"")</f>
        <v>Chandarana Nairobi</v>
      </c>
      <c r="AD89" s="1">
        <f>IF(AC89&lt;&gt;"",INDEX($G$3:$I$228,MATCH($AB89,$AA$3:$AA$228,0),COLUMNS($AA$3:AB89)),"")</f>
        <v>86808.19</v>
      </c>
      <c r="AE89" s="1" t="str">
        <f>IF(AD89&lt;&gt;"",INDEX($G$3:$I$228,MATCH($AB89,$AA$3:$AA$228,0),COLUMNS($AA$3:AC89)),"")</f>
        <v>Nairobi</v>
      </c>
    </row>
    <row r="90" spans="1:31" x14ac:dyDescent="0.2">
      <c r="A90" s="2">
        <v>44748</v>
      </c>
      <c r="B90" s="1" t="s">
        <v>104</v>
      </c>
      <c r="C90" s="1" t="s">
        <v>3</v>
      </c>
      <c r="D90" s="1">
        <v>132721</v>
      </c>
      <c r="E90" s="3">
        <v>57361.61</v>
      </c>
      <c r="F90" s="1" t="s">
        <v>11</v>
      </c>
      <c r="G90" s="1" t="s">
        <v>168</v>
      </c>
      <c r="H90" s="3">
        <f>SUMIFS(Table1[Value],Table1[Outlets],G90)</f>
        <v>84335.06</v>
      </c>
      <c r="I90" s="1" t="str">
        <f>IFERROR(VLOOKUP(G90,Table1[[Outlets]:[Region]],2,0),"")</f>
        <v>Nairobi</v>
      </c>
      <c r="K90" s="1" t="b">
        <f t="shared" si="3"/>
        <v>0</v>
      </c>
      <c r="L90" s="1" t="str">
        <f>IF(K90=TRUE,ROWS($J$3:J90),"")</f>
        <v/>
      </c>
      <c r="M90" s="1" t="str">
        <f>IFERROR(SMALL($L$3:$L$228,ROWS($L$3:L90)),"")</f>
        <v/>
      </c>
      <c r="N90" s="1" t="str">
        <f>IF(M90&lt;&gt;"",INDEX($G$3:$I$228,MATCH($M90,$L$3:$L$228,0),COLUMNS($L$3:L90)),"")</f>
        <v/>
      </c>
      <c r="O90" s="3" t="str">
        <f>IF(N90&lt;&gt;"",INDEX($G$3:$I$228,MATCH($M90,$L$3:$L$228,0),COLUMNS($L$3:M90)),"")</f>
        <v/>
      </c>
      <c r="P90" s="1" t="str">
        <f>IF(O90&lt;&gt;"",INDEX($G$3:$I$228,MATCH($M90,$L$3:$L$228,0),COLUMNS($L$3:N90)),"")</f>
        <v/>
      </c>
      <c r="S90" s="1" t="b">
        <f t="shared" si="4"/>
        <v>0</v>
      </c>
      <c r="T90" s="1" t="str">
        <f>IF(S90=TRUE,ROWS($S$3:S90),"")</f>
        <v/>
      </c>
      <c r="U90" s="1" t="str">
        <f>IFERROR(SMALL($T$3:$T$228,ROWS($T$3:T90)),"")</f>
        <v/>
      </c>
      <c r="V90" s="1" t="str">
        <f>IF(U90&lt;&gt;"",INDEX($G$3:$I$228,MATCH($U90,$T$3:$T$228,0),COLUMNS($U$3:U90)),"")</f>
        <v/>
      </c>
      <c r="W90" s="1" t="str">
        <f>IF(V90&lt;&gt;"",INDEX($G$3:$I$228,MATCH($U90,$T$3:$T$228,0),COLUMNS($U$3:V90)),"")</f>
        <v/>
      </c>
      <c r="X90" s="1" t="str">
        <f>IF(W90&lt;&gt;"",INDEX($G$3:$I$228,MATCH($U90,$T$3:$T$228,0),COLUMNS($U$3:W90)),"")</f>
        <v/>
      </c>
      <c r="Z90" s="1" t="b">
        <f t="shared" si="5"/>
        <v>1</v>
      </c>
      <c r="AA90" s="1">
        <f>IF(Z90=TRUE,ROWS($Z$3:Z90),"")</f>
        <v>88</v>
      </c>
      <c r="AB90" s="1">
        <f>IFERROR(SMALL($AA$3:$AA$228,ROWS($AA$3:AA90)),"")</f>
        <v>88</v>
      </c>
      <c r="AC90" s="1" t="str">
        <f>IF(AB90&lt;&gt;"",INDEX($G$3:$I$228,MATCH($AB90,$AA$3:$AA$228,0),COLUMNS($AA$3:AA90)),"")</f>
        <v>Onn The Way Muthaiga</v>
      </c>
      <c r="AD90" s="1">
        <f>IF(AC90&lt;&gt;"",INDEX($G$3:$I$228,MATCH($AB90,$AA$3:$AA$228,0),COLUMNS($AA$3:AB90)),"")</f>
        <v>84335.06</v>
      </c>
      <c r="AE90" s="1" t="str">
        <f>IF(AD90&lt;&gt;"",INDEX($G$3:$I$228,MATCH($AB90,$AA$3:$AA$228,0),COLUMNS($AA$3:AC90)),"")</f>
        <v>Nairobi</v>
      </c>
    </row>
    <row r="91" spans="1:31" x14ac:dyDescent="0.2">
      <c r="A91" s="2">
        <v>44748</v>
      </c>
      <c r="B91" s="1" t="s">
        <v>21</v>
      </c>
      <c r="C91" s="1" t="s">
        <v>3</v>
      </c>
      <c r="D91" s="1">
        <v>132723</v>
      </c>
      <c r="E91" s="3">
        <v>18193.71</v>
      </c>
      <c r="F91" s="1" t="s">
        <v>4</v>
      </c>
      <c r="G91" s="1" t="s">
        <v>180</v>
      </c>
      <c r="H91" s="3">
        <f>SUMIFS(Table1[Value],Table1[Outlets],G91)</f>
        <v>83943</v>
      </c>
      <c r="I91" s="1" t="str">
        <f>IFERROR(VLOOKUP(G91,Table1[[Outlets]:[Region]],2,0),"")</f>
        <v>Rift valley</v>
      </c>
      <c r="K91" s="1" t="b">
        <f t="shared" si="3"/>
        <v>0</v>
      </c>
      <c r="L91" s="1" t="str">
        <f>IF(K91=TRUE,ROWS($J$3:J91),"")</f>
        <v/>
      </c>
      <c r="M91" s="1" t="str">
        <f>IFERROR(SMALL($L$3:$L$228,ROWS($L$3:L91)),"")</f>
        <v/>
      </c>
      <c r="N91" s="1" t="str">
        <f>IF(M91&lt;&gt;"",INDEX($G$3:$I$228,MATCH($M91,$L$3:$L$228,0),COLUMNS($L$3:L91)),"")</f>
        <v/>
      </c>
      <c r="O91" s="3" t="str">
        <f>IF(N91&lt;&gt;"",INDEX($G$3:$I$228,MATCH($M91,$L$3:$L$228,0),COLUMNS($L$3:M91)),"")</f>
        <v/>
      </c>
      <c r="P91" s="1" t="str">
        <f>IF(O91&lt;&gt;"",INDEX($G$3:$I$228,MATCH($M91,$L$3:$L$228,0),COLUMNS($L$3:N91)),"")</f>
        <v/>
      </c>
      <c r="S91" s="1" t="b">
        <f t="shared" si="4"/>
        <v>0</v>
      </c>
      <c r="T91" s="1" t="str">
        <f>IF(S91=TRUE,ROWS($S$3:S91),"")</f>
        <v/>
      </c>
      <c r="U91" s="1" t="str">
        <f>IFERROR(SMALL($T$3:$T$228,ROWS($T$3:T91)),"")</f>
        <v/>
      </c>
      <c r="V91" s="1" t="str">
        <f>IF(U91&lt;&gt;"",INDEX($G$3:$I$228,MATCH($U91,$T$3:$T$228,0),COLUMNS($U$3:U91)),"")</f>
        <v/>
      </c>
      <c r="W91" s="1" t="str">
        <f>IF(V91&lt;&gt;"",INDEX($G$3:$I$228,MATCH($U91,$T$3:$T$228,0),COLUMNS($U$3:V91)),"")</f>
        <v/>
      </c>
      <c r="X91" s="1" t="str">
        <f>IF(W91&lt;&gt;"",INDEX($G$3:$I$228,MATCH($U91,$T$3:$T$228,0),COLUMNS($U$3:W91)),"")</f>
        <v/>
      </c>
      <c r="Z91" s="1" t="b">
        <f t="shared" si="5"/>
        <v>1</v>
      </c>
      <c r="AA91" s="1">
        <f>IF(Z91=TRUE,ROWS($Z$3:Z91),"")</f>
        <v>89</v>
      </c>
      <c r="AB91" s="1">
        <f>IFERROR(SMALL($AA$3:$AA$228,ROWS($AA$3:AA91)),"")</f>
        <v>89</v>
      </c>
      <c r="AC91" s="1" t="str">
        <f>IF(AB91&lt;&gt;"",INDEX($G$3:$I$228,MATCH($AB91,$AA$3:$AA$228,0),COLUMNS($AA$3:AA91)),"")</f>
        <v>Naivas Kapsabet</v>
      </c>
      <c r="AD91" s="1">
        <f>IF(AC91&lt;&gt;"",INDEX($G$3:$I$228,MATCH($AB91,$AA$3:$AA$228,0),COLUMNS($AA$3:AB91)),"")</f>
        <v>83943</v>
      </c>
      <c r="AE91" s="1" t="str">
        <f>IF(AD91&lt;&gt;"",INDEX($G$3:$I$228,MATCH($AB91,$AA$3:$AA$228,0),COLUMNS($AA$3:AC91)),"")</f>
        <v>Rift valley</v>
      </c>
    </row>
    <row r="92" spans="1:31" x14ac:dyDescent="0.2">
      <c r="A92" s="2">
        <v>44748</v>
      </c>
      <c r="B92" s="1" t="s">
        <v>105</v>
      </c>
      <c r="C92" s="1" t="s">
        <v>3</v>
      </c>
      <c r="D92" s="1">
        <v>132724</v>
      </c>
      <c r="E92" s="3">
        <v>45653.02</v>
      </c>
      <c r="F92" s="1" t="s">
        <v>9</v>
      </c>
      <c r="G92" s="1" t="s">
        <v>238</v>
      </c>
      <c r="H92" s="3">
        <f>SUMIFS(Table1[Value],Table1[Outlets],G92)</f>
        <v>83649.100000000006</v>
      </c>
      <c r="I92" s="1" t="str">
        <f>IFERROR(VLOOKUP(G92,Table1[[Outlets]:[Region]],2,0),"")</f>
        <v>Nairobi</v>
      </c>
      <c r="K92" s="1" t="b">
        <f t="shared" si="3"/>
        <v>0</v>
      </c>
      <c r="L92" s="1" t="str">
        <f>IF(K92=TRUE,ROWS($J$3:J92),"")</f>
        <v/>
      </c>
      <c r="M92" s="1" t="str">
        <f>IFERROR(SMALL($L$3:$L$228,ROWS($L$3:L92)),"")</f>
        <v/>
      </c>
      <c r="N92" s="1" t="str">
        <f>IF(M92&lt;&gt;"",INDEX($G$3:$I$228,MATCH($M92,$L$3:$L$228,0),COLUMNS($L$3:L92)),"")</f>
        <v/>
      </c>
      <c r="O92" s="3" t="str">
        <f>IF(N92&lt;&gt;"",INDEX($G$3:$I$228,MATCH($M92,$L$3:$L$228,0),COLUMNS($L$3:M92)),"")</f>
        <v/>
      </c>
      <c r="P92" s="1" t="str">
        <f>IF(O92&lt;&gt;"",INDEX($G$3:$I$228,MATCH($M92,$L$3:$L$228,0),COLUMNS($L$3:N92)),"")</f>
        <v/>
      </c>
      <c r="S92" s="1" t="b">
        <f t="shared" si="4"/>
        <v>0</v>
      </c>
      <c r="T92" s="1" t="str">
        <f>IF(S92=TRUE,ROWS($S$3:S92),"")</f>
        <v/>
      </c>
      <c r="U92" s="1" t="str">
        <f>IFERROR(SMALL($T$3:$T$228,ROWS($T$3:T92)),"")</f>
        <v/>
      </c>
      <c r="V92" s="1" t="str">
        <f>IF(U92&lt;&gt;"",INDEX($G$3:$I$228,MATCH($U92,$T$3:$T$228,0),COLUMNS($U$3:U92)),"")</f>
        <v/>
      </c>
      <c r="W92" s="1" t="str">
        <f>IF(V92&lt;&gt;"",INDEX($G$3:$I$228,MATCH($U92,$T$3:$T$228,0),COLUMNS($U$3:V92)),"")</f>
        <v/>
      </c>
      <c r="X92" s="1" t="str">
        <f>IF(W92&lt;&gt;"",INDEX($G$3:$I$228,MATCH($U92,$T$3:$T$228,0),COLUMNS($U$3:W92)),"")</f>
        <v/>
      </c>
      <c r="Z92" s="1" t="b">
        <f t="shared" si="5"/>
        <v>1</v>
      </c>
      <c r="AA92" s="1">
        <f>IF(Z92=TRUE,ROWS($Z$3:Z92),"")</f>
        <v>90</v>
      </c>
      <c r="AB92" s="1">
        <f>IFERROR(SMALL($AA$3:$AA$228,ROWS($AA$3:AA92)),"")</f>
        <v>90</v>
      </c>
      <c r="AC92" s="1" t="str">
        <f>IF(AB92&lt;&gt;"",INDEX($G$3:$I$228,MATCH($AB92,$AA$3:$AA$228,0),COLUMNS($AA$3:AA92)),"")</f>
        <v>Defco Statehouse</v>
      </c>
      <c r="AD92" s="1">
        <f>IF(AC92&lt;&gt;"",INDEX($G$3:$I$228,MATCH($AB92,$AA$3:$AA$228,0),COLUMNS($AA$3:AB92)),"")</f>
        <v>83649.100000000006</v>
      </c>
      <c r="AE92" s="1" t="str">
        <f>IF(AD92&lt;&gt;"",INDEX($G$3:$I$228,MATCH($AB92,$AA$3:$AA$228,0),COLUMNS($AA$3:AC92)),"")</f>
        <v>Nairobi</v>
      </c>
    </row>
    <row r="93" spans="1:31" x14ac:dyDescent="0.2">
      <c r="A93" s="2">
        <v>44748</v>
      </c>
      <c r="B93" s="1" t="s">
        <v>106</v>
      </c>
      <c r="C93" s="1" t="s">
        <v>3</v>
      </c>
      <c r="D93" s="1">
        <v>132725</v>
      </c>
      <c r="E93" s="3">
        <v>48780.52</v>
      </c>
      <c r="F93" s="1" t="s">
        <v>9</v>
      </c>
      <c r="G93" s="1" t="s">
        <v>22</v>
      </c>
      <c r="H93" s="3">
        <f>SUMIFS(Table1[Value],Table1[Outlets],G93)</f>
        <v>83357.11</v>
      </c>
      <c r="I93" s="1" t="str">
        <f>IFERROR(VLOOKUP(G93,Table1[[Outlets]:[Region]],2,0),"")</f>
        <v>Nairobi</v>
      </c>
      <c r="K93" s="1" t="b">
        <f t="shared" si="3"/>
        <v>0</v>
      </c>
      <c r="L93" s="1" t="str">
        <f>IF(K93=TRUE,ROWS($J$3:J93),"")</f>
        <v/>
      </c>
      <c r="M93" s="1" t="str">
        <f>IFERROR(SMALL($L$3:$L$228,ROWS($L$3:L93)),"")</f>
        <v/>
      </c>
      <c r="N93" s="1" t="str">
        <f>IF(M93&lt;&gt;"",INDEX($G$3:$I$228,MATCH($M93,$L$3:$L$228,0),COLUMNS($L$3:L93)),"")</f>
        <v/>
      </c>
      <c r="O93" s="3" t="str">
        <f>IF(N93&lt;&gt;"",INDEX($G$3:$I$228,MATCH($M93,$L$3:$L$228,0),COLUMNS($L$3:M93)),"")</f>
        <v/>
      </c>
      <c r="P93" s="1" t="str">
        <f>IF(O93&lt;&gt;"",INDEX($G$3:$I$228,MATCH($M93,$L$3:$L$228,0),COLUMNS($L$3:N93)),"")</f>
        <v/>
      </c>
      <c r="S93" s="1" t="b">
        <f t="shared" si="4"/>
        <v>0</v>
      </c>
      <c r="T93" s="1" t="str">
        <f>IF(S93=TRUE,ROWS($S$3:S93),"")</f>
        <v/>
      </c>
      <c r="U93" s="1" t="str">
        <f>IFERROR(SMALL($T$3:$T$228,ROWS($T$3:T93)),"")</f>
        <v/>
      </c>
      <c r="V93" s="1" t="str">
        <f>IF(U93&lt;&gt;"",INDEX($G$3:$I$228,MATCH($U93,$T$3:$T$228,0),COLUMNS($U$3:U93)),"")</f>
        <v/>
      </c>
      <c r="W93" s="1" t="str">
        <f>IF(V93&lt;&gt;"",INDEX($G$3:$I$228,MATCH($U93,$T$3:$T$228,0),COLUMNS($U$3:V93)),"")</f>
        <v/>
      </c>
      <c r="X93" s="1" t="str">
        <f>IF(W93&lt;&gt;"",INDEX($G$3:$I$228,MATCH($U93,$T$3:$T$228,0),COLUMNS($U$3:W93)),"")</f>
        <v/>
      </c>
      <c r="Z93" s="1" t="b">
        <f t="shared" si="5"/>
        <v>1</v>
      </c>
      <c r="AA93" s="1">
        <f>IF(Z93=TRUE,ROWS($Z$3:Z93),"")</f>
        <v>91</v>
      </c>
      <c r="AB93" s="1">
        <f>IFERROR(SMALL($AA$3:$AA$228,ROWS($AA$3:AA93)),"")</f>
        <v>91</v>
      </c>
      <c r="AC93" s="1" t="str">
        <f>IF(AB93&lt;&gt;"",INDEX($G$3:$I$228,MATCH($AB93,$AA$3:$AA$228,0),COLUMNS($AA$3:AA93)),"")</f>
        <v>Naivas Maiyan Mall</v>
      </c>
      <c r="AD93" s="1">
        <f>IF(AC93&lt;&gt;"",INDEX($G$3:$I$228,MATCH($AB93,$AA$3:$AA$228,0),COLUMNS($AA$3:AB93)),"")</f>
        <v>83357.11</v>
      </c>
      <c r="AE93" s="1" t="str">
        <f>IF(AD93&lt;&gt;"",INDEX($G$3:$I$228,MATCH($AB93,$AA$3:$AA$228,0),COLUMNS($AA$3:AC93)),"")</f>
        <v>Nairobi</v>
      </c>
    </row>
    <row r="94" spans="1:31" x14ac:dyDescent="0.2">
      <c r="A94" s="2">
        <v>44748</v>
      </c>
      <c r="B94" s="1" t="s">
        <v>107</v>
      </c>
      <c r="C94" s="1" t="s">
        <v>250</v>
      </c>
      <c r="D94" s="1">
        <v>132726</v>
      </c>
      <c r="E94" s="3">
        <v>27178.63</v>
      </c>
      <c r="F94" s="1" t="s">
        <v>9</v>
      </c>
      <c r="G94" s="1" t="s">
        <v>85</v>
      </c>
      <c r="H94" s="3">
        <f>SUMIFS(Table1[Value],Table1[Outlets],G94)</f>
        <v>82287.709999999992</v>
      </c>
      <c r="I94" s="1" t="str">
        <f>IFERROR(VLOOKUP(G94,Table1[[Outlets]:[Region]],2,0),"")</f>
        <v>Nairobi</v>
      </c>
      <c r="K94" s="1" t="b">
        <f t="shared" si="3"/>
        <v>0</v>
      </c>
      <c r="L94" s="1" t="str">
        <f>IF(K94=TRUE,ROWS($J$3:J94),"")</f>
        <v/>
      </c>
      <c r="M94" s="1" t="str">
        <f>IFERROR(SMALL($L$3:$L$228,ROWS($L$3:L94)),"")</f>
        <v/>
      </c>
      <c r="N94" s="1" t="str">
        <f>IF(M94&lt;&gt;"",INDEX($G$3:$I$228,MATCH($M94,$L$3:$L$228,0),COLUMNS($L$3:L94)),"")</f>
        <v/>
      </c>
      <c r="O94" s="3" t="str">
        <f>IF(N94&lt;&gt;"",INDEX($G$3:$I$228,MATCH($M94,$L$3:$L$228,0),COLUMNS($L$3:M94)),"")</f>
        <v/>
      </c>
      <c r="P94" s="1" t="str">
        <f>IF(O94&lt;&gt;"",INDEX($G$3:$I$228,MATCH($M94,$L$3:$L$228,0),COLUMNS($L$3:N94)),"")</f>
        <v/>
      </c>
      <c r="S94" s="1" t="b">
        <f t="shared" si="4"/>
        <v>0</v>
      </c>
      <c r="T94" s="1" t="str">
        <f>IF(S94=TRUE,ROWS($S$3:S94),"")</f>
        <v/>
      </c>
      <c r="U94" s="1" t="str">
        <f>IFERROR(SMALL($T$3:$T$228,ROWS($T$3:T94)),"")</f>
        <v/>
      </c>
      <c r="V94" s="1" t="str">
        <f>IF(U94&lt;&gt;"",INDEX($G$3:$I$228,MATCH($U94,$T$3:$T$228,0),COLUMNS($U$3:U94)),"")</f>
        <v/>
      </c>
      <c r="W94" s="1" t="str">
        <f>IF(V94&lt;&gt;"",INDEX($G$3:$I$228,MATCH($U94,$T$3:$T$228,0),COLUMNS($U$3:V94)),"")</f>
        <v/>
      </c>
      <c r="X94" s="1" t="str">
        <f>IF(W94&lt;&gt;"",INDEX($G$3:$I$228,MATCH($U94,$T$3:$T$228,0),COLUMNS($U$3:W94)),"")</f>
        <v/>
      </c>
      <c r="Z94" s="1" t="b">
        <f t="shared" si="5"/>
        <v>1</v>
      </c>
      <c r="AA94" s="1">
        <f>IF(Z94=TRUE,ROWS($Z$3:Z94),"")</f>
        <v>92</v>
      </c>
      <c r="AB94" s="1">
        <f>IFERROR(SMALL($AA$3:$AA$228,ROWS($AA$3:AA94)),"")</f>
        <v>92</v>
      </c>
      <c r="AC94" s="1" t="str">
        <f>IF(AB94&lt;&gt;"",INDEX($G$3:$I$228,MATCH($AB94,$AA$3:$AA$228,0),COLUMNS($AA$3:AA94)),"")</f>
        <v>Naivas Gateway</v>
      </c>
      <c r="AD94" s="1">
        <f>IF(AC94&lt;&gt;"",INDEX($G$3:$I$228,MATCH($AB94,$AA$3:$AA$228,0),COLUMNS($AA$3:AB94)),"")</f>
        <v>82287.709999999992</v>
      </c>
      <c r="AE94" s="1" t="str">
        <f>IF(AD94&lt;&gt;"",INDEX($G$3:$I$228,MATCH($AB94,$AA$3:$AA$228,0),COLUMNS($AA$3:AC94)),"")</f>
        <v>Nairobi</v>
      </c>
    </row>
    <row r="95" spans="1:31" x14ac:dyDescent="0.2">
      <c r="A95" s="2">
        <v>44748</v>
      </c>
      <c r="B95" s="1" t="s">
        <v>108</v>
      </c>
      <c r="C95" s="1" t="s">
        <v>3</v>
      </c>
      <c r="D95" s="1">
        <v>132728</v>
      </c>
      <c r="E95" s="3">
        <v>46113.7</v>
      </c>
      <c r="F95" s="1" t="s">
        <v>9</v>
      </c>
      <c r="G95" s="1" t="s">
        <v>212</v>
      </c>
      <c r="H95" s="3">
        <f>SUMIFS(Table1[Value],Table1[Outlets],G95)</f>
        <v>82278.27</v>
      </c>
      <c r="I95" s="1" t="str">
        <f>IFERROR(VLOOKUP(G95,Table1[[Outlets]:[Region]],2,0),"")</f>
        <v>Western</v>
      </c>
      <c r="K95" s="1" t="b">
        <f t="shared" si="3"/>
        <v>1</v>
      </c>
      <c r="L95" s="1">
        <f>IF(K95=TRUE,ROWS($J$3:J95),"")</f>
        <v>93</v>
      </c>
      <c r="M95" s="1" t="str">
        <f>IFERROR(SMALL($L$3:$L$228,ROWS($L$3:L95)),"")</f>
        <v/>
      </c>
      <c r="N95" s="1" t="str">
        <f>IF(M95&lt;&gt;"",INDEX($G$3:$I$228,MATCH($M95,$L$3:$L$228,0),COLUMNS($L$3:L95)),"")</f>
        <v/>
      </c>
      <c r="O95" s="3" t="str">
        <f>IF(N95&lt;&gt;"",INDEX($G$3:$I$228,MATCH($M95,$L$3:$L$228,0),COLUMNS($L$3:M95)),"")</f>
        <v/>
      </c>
      <c r="P95" s="1" t="str">
        <f>IF(O95&lt;&gt;"",INDEX($G$3:$I$228,MATCH($M95,$L$3:$L$228,0),COLUMNS($L$3:N95)),"")</f>
        <v/>
      </c>
      <c r="S95" s="1" t="b">
        <f t="shared" si="4"/>
        <v>0</v>
      </c>
      <c r="T95" s="1" t="str">
        <f>IF(S95=TRUE,ROWS($S$3:S95),"")</f>
        <v/>
      </c>
      <c r="U95" s="1" t="str">
        <f>IFERROR(SMALL($T$3:$T$228,ROWS($T$3:T95)),"")</f>
        <v/>
      </c>
      <c r="V95" s="1" t="str">
        <f>IF(U95&lt;&gt;"",INDEX($G$3:$I$228,MATCH($U95,$T$3:$T$228,0),COLUMNS($U$3:U95)),"")</f>
        <v/>
      </c>
      <c r="W95" s="1" t="str">
        <f>IF(V95&lt;&gt;"",INDEX($G$3:$I$228,MATCH($U95,$T$3:$T$228,0),COLUMNS($U$3:V95)),"")</f>
        <v/>
      </c>
      <c r="X95" s="1" t="str">
        <f>IF(W95&lt;&gt;"",INDEX($G$3:$I$228,MATCH($U95,$T$3:$T$228,0),COLUMNS($U$3:W95)),"")</f>
        <v/>
      </c>
      <c r="Z95" s="1" t="b">
        <f t="shared" si="5"/>
        <v>1</v>
      </c>
      <c r="AA95" s="1">
        <f>IF(Z95=TRUE,ROWS($Z$3:Z95),"")</f>
        <v>93</v>
      </c>
      <c r="AB95" s="1">
        <f>IFERROR(SMALL($AA$3:$AA$228,ROWS($AA$3:AA95)),"")</f>
        <v>93</v>
      </c>
      <c r="AC95" s="1" t="str">
        <f>IF(AB95&lt;&gt;"",INDEX($G$3:$I$228,MATCH($AB95,$AA$3:$AA$228,0),COLUMNS($AA$3:AA95)),"")</f>
        <v>Chandarana Kakamega</v>
      </c>
      <c r="AD95" s="1">
        <f>IF(AC95&lt;&gt;"",INDEX($G$3:$I$228,MATCH($AB95,$AA$3:$AA$228,0),COLUMNS($AA$3:AB95)),"")</f>
        <v>82278.27</v>
      </c>
      <c r="AE95" s="1" t="str">
        <f>IF(AD95&lt;&gt;"",INDEX($G$3:$I$228,MATCH($AB95,$AA$3:$AA$228,0),COLUMNS($AA$3:AC95)),"")</f>
        <v>Western</v>
      </c>
    </row>
    <row r="96" spans="1:31" x14ac:dyDescent="0.2">
      <c r="A96" s="2">
        <v>44748</v>
      </c>
      <c r="B96" s="1" t="s">
        <v>109</v>
      </c>
      <c r="C96" s="1" t="s">
        <v>3</v>
      </c>
      <c r="D96" s="1">
        <v>132730</v>
      </c>
      <c r="E96" s="3">
        <v>2722640.52</v>
      </c>
      <c r="F96" s="1" t="s">
        <v>11</v>
      </c>
      <c r="G96" s="1" t="s">
        <v>80</v>
      </c>
      <c r="H96" s="3">
        <f>SUMIFS(Table1[Value],Table1[Outlets],G96)</f>
        <v>79559.489999999991</v>
      </c>
      <c r="I96" s="1" t="str">
        <f>IFERROR(VLOOKUP(G96,Table1[[Outlets]:[Region]],2,0),"")</f>
        <v>Nairobi</v>
      </c>
      <c r="K96" s="1" t="b">
        <f t="shared" si="3"/>
        <v>0</v>
      </c>
      <c r="L96" s="1" t="str">
        <f>IF(K96=TRUE,ROWS($J$3:J96),"")</f>
        <v/>
      </c>
      <c r="M96" s="1" t="str">
        <f>IFERROR(SMALL($L$3:$L$228,ROWS($L$3:L96)),"")</f>
        <v/>
      </c>
      <c r="N96" s="1" t="str">
        <f>IF(M96&lt;&gt;"",INDEX($G$3:$I$228,MATCH($M96,$L$3:$L$228,0),COLUMNS($L$3:L96)),"")</f>
        <v/>
      </c>
      <c r="O96" s="3" t="str">
        <f>IF(N96&lt;&gt;"",INDEX($G$3:$I$228,MATCH($M96,$L$3:$L$228,0),COLUMNS($L$3:M96)),"")</f>
        <v/>
      </c>
      <c r="P96" s="1" t="str">
        <f>IF(O96&lt;&gt;"",INDEX($G$3:$I$228,MATCH($M96,$L$3:$L$228,0),COLUMNS($L$3:N96)),"")</f>
        <v/>
      </c>
      <c r="S96" s="1" t="b">
        <f t="shared" si="4"/>
        <v>0</v>
      </c>
      <c r="T96" s="1" t="str">
        <f>IF(S96=TRUE,ROWS($S$3:S96),"")</f>
        <v/>
      </c>
      <c r="U96" s="1" t="str">
        <f>IFERROR(SMALL($T$3:$T$228,ROWS($T$3:T96)),"")</f>
        <v/>
      </c>
      <c r="V96" s="1" t="str">
        <f>IF(U96&lt;&gt;"",INDEX($G$3:$I$228,MATCH($U96,$T$3:$T$228,0),COLUMNS($U$3:U96)),"")</f>
        <v/>
      </c>
      <c r="W96" s="1" t="str">
        <f>IF(V96&lt;&gt;"",INDEX($G$3:$I$228,MATCH($U96,$T$3:$T$228,0),COLUMNS($U$3:V96)),"")</f>
        <v/>
      </c>
      <c r="X96" s="1" t="str">
        <f>IF(W96&lt;&gt;"",INDEX($G$3:$I$228,MATCH($U96,$T$3:$T$228,0),COLUMNS($U$3:W96)),"")</f>
        <v/>
      </c>
      <c r="Z96" s="1" t="b">
        <f t="shared" si="5"/>
        <v>1</v>
      </c>
      <c r="AA96" s="1">
        <f>IF(Z96=TRUE,ROWS($Z$3:Z96),"")</f>
        <v>94</v>
      </c>
      <c r="AB96" s="1">
        <f>IFERROR(SMALL($AA$3:$AA$228,ROWS($AA$3:AA96)),"")</f>
        <v>94</v>
      </c>
      <c r="AC96" s="1" t="str">
        <f>IF(AB96&lt;&gt;"",INDEX($G$3:$I$228,MATCH($AB96,$AA$3:$AA$228,0),COLUMNS($AA$3:AA96)),"")</f>
        <v>Naivas Kilimani</v>
      </c>
      <c r="AD96" s="1">
        <f>IF(AC96&lt;&gt;"",INDEX($G$3:$I$228,MATCH($AB96,$AA$3:$AA$228,0),COLUMNS($AA$3:AB96)),"")</f>
        <v>79559.489999999991</v>
      </c>
      <c r="AE96" s="1" t="str">
        <f>IF(AD96&lt;&gt;"",INDEX($G$3:$I$228,MATCH($AB96,$AA$3:$AA$228,0),COLUMNS($AA$3:AC96)),"")</f>
        <v>Nairobi</v>
      </c>
    </row>
    <row r="97" spans="1:31" x14ac:dyDescent="0.2">
      <c r="A97" s="2">
        <v>44748</v>
      </c>
      <c r="B97" s="1" t="s">
        <v>110</v>
      </c>
      <c r="C97" s="1" t="s">
        <v>251</v>
      </c>
      <c r="D97" s="1">
        <v>132731</v>
      </c>
      <c r="E97" s="3">
        <v>124142.95</v>
      </c>
      <c r="F97" s="1" t="s">
        <v>11</v>
      </c>
      <c r="G97" s="1" t="s">
        <v>133</v>
      </c>
      <c r="H97" s="3">
        <f>SUMIFS(Table1[Value],Table1[Outlets],G97)</f>
        <v>78005.350000000006</v>
      </c>
      <c r="I97" s="1" t="str">
        <f>IFERROR(VLOOKUP(G97,Table1[[Outlets]:[Region]],2,0),"")</f>
        <v>Nairobi</v>
      </c>
      <c r="K97" s="1" t="b">
        <f t="shared" si="3"/>
        <v>0</v>
      </c>
      <c r="L97" s="1" t="str">
        <f>IF(K97=TRUE,ROWS($J$3:J97),"")</f>
        <v/>
      </c>
      <c r="M97" s="1" t="str">
        <f>IFERROR(SMALL($L$3:$L$228,ROWS($L$3:L97)),"")</f>
        <v/>
      </c>
      <c r="N97" s="1" t="str">
        <f>IF(M97&lt;&gt;"",INDEX($G$3:$I$228,MATCH($M97,$L$3:$L$228,0),COLUMNS($L$3:L97)),"")</f>
        <v/>
      </c>
      <c r="O97" s="3" t="str">
        <f>IF(N97&lt;&gt;"",INDEX($G$3:$I$228,MATCH($M97,$L$3:$L$228,0),COLUMNS($L$3:M97)),"")</f>
        <v/>
      </c>
      <c r="P97" s="1" t="str">
        <f>IF(O97&lt;&gt;"",INDEX($G$3:$I$228,MATCH($M97,$L$3:$L$228,0),COLUMNS($L$3:N97)),"")</f>
        <v/>
      </c>
      <c r="S97" s="1" t="b">
        <f t="shared" si="4"/>
        <v>0</v>
      </c>
      <c r="T97" s="1" t="str">
        <f>IF(S97=TRUE,ROWS($S$3:S97),"")</f>
        <v/>
      </c>
      <c r="U97" s="1" t="str">
        <f>IFERROR(SMALL($T$3:$T$228,ROWS($T$3:T97)),"")</f>
        <v/>
      </c>
      <c r="V97" s="1" t="str">
        <f>IF(U97&lt;&gt;"",INDEX($G$3:$I$228,MATCH($U97,$T$3:$T$228,0),COLUMNS($U$3:U97)),"")</f>
        <v/>
      </c>
      <c r="W97" s="1" t="str">
        <f>IF(V97&lt;&gt;"",INDEX($G$3:$I$228,MATCH($U97,$T$3:$T$228,0),COLUMNS($U$3:V97)),"")</f>
        <v/>
      </c>
      <c r="X97" s="1" t="str">
        <f>IF(W97&lt;&gt;"",INDEX($G$3:$I$228,MATCH($U97,$T$3:$T$228,0),COLUMNS($U$3:W97)),"")</f>
        <v/>
      </c>
      <c r="Z97" s="1" t="b">
        <f t="shared" si="5"/>
        <v>1</v>
      </c>
      <c r="AA97" s="1">
        <f>IF(Z97=TRUE,ROWS($Z$3:Z97),"")</f>
        <v>95</v>
      </c>
      <c r="AB97" s="1">
        <f>IFERROR(SMALL($AA$3:$AA$228,ROWS($AA$3:AA97)),"")</f>
        <v>95</v>
      </c>
      <c r="AC97" s="1" t="str">
        <f>IF(AB97&lt;&gt;"",INDEX($G$3:$I$228,MATCH($AB97,$AA$3:$AA$228,0),COLUMNS($AA$3:AA97)),"")</f>
        <v>Quickmart Kiserian</v>
      </c>
      <c r="AD97" s="1">
        <f>IF(AC97&lt;&gt;"",INDEX($G$3:$I$228,MATCH($AB97,$AA$3:$AA$228,0),COLUMNS($AA$3:AB97)),"")</f>
        <v>78005.350000000006</v>
      </c>
      <c r="AE97" s="1" t="str">
        <f>IF(AD97&lt;&gt;"",INDEX($G$3:$I$228,MATCH($AB97,$AA$3:$AA$228,0),COLUMNS($AA$3:AC97)),"")</f>
        <v>Nairobi</v>
      </c>
    </row>
    <row r="98" spans="1:31" x14ac:dyDescent="0.2">
      <c r="A98" s="2">
        <v>44748</v>
      </c>
      <c r="B98" s="1" t="s">
        <v>111</v>
      </c>
      <c r="C98" s="1" t="s">
        <v>3</v>
      </c>
      <c r="D98" s="1">
        <v>132732</v>
      </c>
      <c r="E98" s="3">
        <v>40648.720000000001</v>
      </c>
      <c r="F98" s="1" t="s">
        <v>11</v>
      </c>
      <c r="G98" s="1" t="s">
        <v>97</v>
      </c>
      <c r="H98" s="3">
        <f>SUMIFS(Table1[Value],Table1[Outlets],G98)</f>
        <v>75157.83</v>
      </c>
      <c r="I98" s="1" t="str">
        <f>IFERROR(VLOOKUP(G98,Table1[[Outlets]:[Region]],2,0),"")</f>
        <v>Nairobi</v>
      </c>
      <c r="K98" s="1" t="b">
        <f t="shared" si="3"/>
        <v>0</v>
      </c>
      <c r="L98" s="1" t="str">
        <f>IF(K98=TRUE,ROWS($J$3:J98),"")</f>
        <v/>
      </c>
      <c r="M98" s="1" t="str">
        <f>IFERROR(SMALL($L$3:$L$228,ROWS($L$3:L98)),"")</f>
        <v/>
      </c>
      <c r="N98" s="1" t="str">
        <f>IF(M98&lt;&gt;"",INDEX($G$3:$I$228,MATCH($M98,$L$3:$L$228,0),COLUMNS($L$3:L98)),"")</f>
        <v/>
      </c>
      <c r="O98" s="3" t="str">
        <f>IF(N98&lt;&gt;"",INDEX($G$3:$I$228,MATCH($M98,$L$3:$L$228,0),COLUMNS($L$3:M98)),"")</f>
        <v/>
      </c>
      <c r="P98" s="1" t="str">
        <f>IF(O98&lt;&gt;"",INDEX($G$3:$I$228,MATCH($M98,$L$3:$L$228,0),COLUMNS($L$3:N98)),"")</f>
        <v/>
      </c>
      <c r="S98" s="1" t="b">
        <f t="shared" si="4"/>
        <v>0</v>
      </c>
      <c r="T98" s="1" t="str">
        <f>IF(S98=TRUE,ROWS($S$3:S98),"")</f>
        <v/>
      </c>
      <c r="U98" s="1" t="str">
        <f>IFERROR(SMALL($T$3:$T$228,ROWS($T$3:T98)),"")</f>
        <v/>
      </c>
      <c r="V98" s="1" t="str">
        <f>IF(U98&lt;&gt;"",INDEX($G$3:$I$228,MATCH($U98,$T$3:$T$228,0),COLUMNS($U$3:U98)),"")</f>
        <v/>
      </c>
      <c r="W98" s="1" t="str">
        <f>IF(V98&lt;&gt;"",INDEX($G$3:$I$228,MATCH($U98,$T$3:$T$228,0),COLUMNS($U$3:V98)),"")</f>
        <v/>
      </c>
      <c r="X98" s="1" t="str">
        <f>IF(W98&lt;&gt;"",INDEX($G$3:$I$228,MATCH($U98,$T$3:$T$228,0),COLUMNS($U$3:W98)),"")</f>
        <v/>
      </c>
      <c r="Z98" s="1" t="b">
        <f t="shared" si="5"/>
        <v>1</v>
      </c>
      <c r="AA98" s="1">
        <f>IF(Z98=TRUE,ROWS($Z$3:Z98),"")</f>
        <v>96</v>
      </c>
      <c r="AB98" s="1">
        <f>IFERROR(SMALL($AA$3:$AA$228,ROWS($AA$3:AA98)),"")</f>
        <v>96</v>
      </c>
      <c r="AC98" s="1" t="str">
        <f>IF(AB98&lt;&gt;"",INDEX($G$3:$I$228,MATCH($AB98,$AA$3:$AA$228,0),COLUMNS($AA$3:AA98)),"")</f>
        <v>Quickmart Kahawa Sukari</v>
      </c>
      <c r="AD98" s="1">
        <f>IF(AC98&lt;&gt;"",INDEX($G$3:$I$228,MATCH($AB98,$AA$3:$AA$228,0),COLUMNS($AA$3:AB98)),"")</f>
        <v>75157.83</v>
      </c>
      <c r="AE98" s="1" t="str">
        <f>IF(AD98&lt;&gt;"",INDEX($G$3:$I$228,MATCH($AB98,$AA$3:$AA$228,0),COLUMNS($AA$3:AC98)),"")</f>
        <v>Nairobi</v>
      </c>
    </row>
    <row r="99" spans="1:31" x14ac:dyDescent="0.2">
      <c r="A99" s="2">
        <v>44748</v>
      </c>
      <c r="B99" s="1" t="s">
        <v>25</v>
      </c>
      <c r="C99" s="1" t="s">
        <v>3</v>
      </c>
      <c r="D99" s="1">
        <v>132733</v>
      </c>
      <c r="E99" s="3">
        <v>144674.47</v>
      </c>
      <c r="F99" s="1" t="s">
        <v>8</v>
      </c>
      <c r="G99" s="1" t="s">
        <v>178</v>
      </c>
      <c r="H99" s="3">
        <f>SUMIFS(Table1[Value],Table1[Outlets],G99)</f>
        <v>72811.8</v>
      </c>
      <c r="I99" s="1" t="str">
        <f>IFERROR(VLOOKUP(G99,Table1[[Outlets]:[Region]],2,0),"")</f>
        <v>Central</v>
      </c>
      <c r="K99" s="1" t="b">
        <f t="shared" si="3"/>
        <v>0</v>
      </c>
      <c r="L99" s="1" t="str">
        <f>IF(K99=TRUE,ROWS($J$3:J99),"")</f>
        <v/>
      </c>
      <c r="M99" s="1" t="str">
        <f>IFERROR(SMALL($L$3:$L$228,ROWS($L$3:L99)),"")</f>
        <v/>
      </c>
      <c r="N99" s="1" t="str">
        <f>IF(M99&lt;&gt;"",INDEX($G$3:$I$228,MATCH($M99,$L$3:$L$228,0),COLUMNS($L$3:L99)),"")</f>
        <v/>
      </c>
      <c r="O99" s="3" t="str">
        <f>IF(N99&lt;&gt;"",INDEX($G$3:$I$228,MATCH($M99,$L$3:$L$228,0),COLUMNS($L$3:M99)),"")</f>
        <v/>
      </c>
      <c r="P99" s="1" t="str">
        <f>IF(O99&lt;&gt;"",INDEX($G$3:$I$228,MATCH($M99,$L$3:$L$228,0),COLUMNS($L$3:N99)),"")</f>
        <v/>
      </c>
      <c r="S99" s="1" t="b">
        <f t="shared" si="4"/>
        <v>0</v>
      </c>
      <c r="T99" s="1" t="str">
        <f>IF(S99=TRUE,ROWS($S$3:S99),"")</f>
        <v/>
      </c>
      <c r="U99" s="1" t="str">
        <f>IFERROR(SMALL($T$3:$T$228,ROWS($T$3:T99)),"")</f>
        <v/>
      </c>
      <c r="V99" s="1" t="str">
        <f>IF(U99&lt;&gt;"",INDEX($G$3:$I$228,MATCH($U99,$T$3:$T$228,0),COLUMNS($U$3:U99)),"")</f>
        <v/>
      </c>
      <c r="W99" s="1" t="str">
        <f>IF(V99&lt;&gt;"",INDEX($G$3:$I$228,MATCH($U99,$T$3:$T$228,0),COLUMNS($U$3:V99)),"")</f>
        <v/>
      </c>
      <c r="X99" s="1" t="str">
        <f>IF(W99&lt;&gt;"",INDEX($G$3:$I$228,MATCH($U99,$T$3:$T$228,0),COLUMNS($U$3:W99)),"")</f>
        <v/>
      </c>
      <c r="Z99" s="1" t="b">
        <f t="shared" si="5"/>
        <v>1</v>
      </c>
      <c r="AA99" s="1">
        <f>IF(Z99=TRUE,ROWS($Z$3:Z99),"")</f>
        <v>97</v>
      </c>
      <c r="AB99" s="1">
        <f>IFERROR(SMALL($AA$3:$AA$228,ROWS($AA$3:AA99)),"")</f>
        <v>97</v>
      </c>
      <c r="AC99" s="1" t="str">
        <f>IF(AB99&lt;&gt;"",INDEX($G$3:$I$228,MATCH($AB99,$AA$3:$AA$228,0),COLUMNS($AA$3:AA99)),"")</f>
        <v>Quickmart Nanyuki</v>
      </c>
      <c r="AD99" s="1">
        <f>IF(AC99&lt;&gt;"",INDEX($G$3:$I$228,MATCH($AB99,$AA$3:$AA$228,0),COLUMNS($AA$3:AB99)),"")</f>
        <v>72811.8</v>
      </c>
      <c r="AE99" s="1" t="str">
        <f>IF(AD99&lt;&gt;"",INDEX($G$3:$I$228,MATCH($AB99,$AA$3:$AA$228,0),COLUMNS($AA$3:AC99)),"")</f>
        <v>Central</v>
      </c>
    </row>
    <row r="100" spans="1:31" x14ac:dyDescent="0.2">
      <c r="A100" s="2">
        <v>44748</v>
      </c>
      <c r="B100" s="1" t="s">
        <v>112</v>
      </c>
      <c r="C100" s="1" t="s">
        <v>3</v>
      </c>
      <c r="D100" s="1">
        <v>132735</v>
      </c>
      <c r="E100" s="3">
        <v>82449.8</v>
      </c>
      <c r="F100" s="1" t="s">
        <v>9</v>
      </c>
      <c r="G100" s="1" t="s">
        <v>171</v>
      </c>
      <c r="H100" s="3">
        <f>SUMIFS(Table1[Value],Table1[Outlets],G100)</f>
        <v>71286.549999999988</v>
      </c>
      <c r="I100" s="1" t="str">
        <f>IFERROR(VLOOKUP(G100,Table1[[Outlets]:[Region]],2,0),"")</f>
        <v>Nairobi</v>
      </c>
      <c r="K100" s="1" t="b">
        <f t="shared" si="3"/>
        <v>1</v>
      </c>
      <c r="L100" s="1">
        <f>IF(K100=TRUE,ROWS($J$3:J100),"")</f>
        <v>98</v>
      </c>
      <c r="M100" s="1" t="str">
        <f>IFERROR(SMALL($L$3:$L$228,ROWS($L$3:L100)),"")</f>
        <v/>
      </c>
      <c r="N100" s="1" t="str">
        <f>IF(M100&lt;&gt;"",INDEX($G$3:$I$228,MATCH($M100,$L$3:$L$228,0),COLUMNS($L$3:L100)),"")</f>
        <v/>
      </c>
      <c r="O100" s="3" t="str">
        <f>IF(N100&lt;&gt;"",INDEX($G$3:$I$228,MATCH($M100,$L$3:$L$228,0),COLUMNS($L$3:M100)),"")</f>
        <v/>
      </c>
      <c r="P100" s="1" t="str">
        <f>IF(O100&lt;&gt;"",INDEX($G$3:$I$228,MATCH($M100,$L$3:$L$228,0),COLUMNS($L$3:N100)),"")</f>
        <v/>
      </c>
      <c r="S100" s="1" t="b">
        <f t="shared" si="4"/>
        <v>0</v>
      </c>
      <c r="T100" s="1" t="str">
        <f>IF(S100=TRUE,ROWS($S$3:S100),"")</f>
        <v/>
      </c>
      <c r="U100" s="1" t="str">
        <f>IFERROR(SMALL($T$3:$T$228,ROWS($T$3:T100)),"")</f>
        <v/>
      </c>
      <c r="V100" s="1" t="str">
        <f>IF(U100&lt;&gt;"",INDEX($G$3:$I$228,MATCH($U100,$T$3:$T$228,0),COLUMNS($U$3:U100)),"")</f>
        <v/>
      </c>
      <c r="W100" s="1" t="str">
        <f>IF(V100&lt;&gt;"",INDEX($G$3:$I$228,MATCH($U100,$T$3:$T$228,0),COLUMNS($U$3:V100)),"")</f>
        <v/>
      </c>
      <c r="X100" s="1" t="str">
        <f>IF(W100&lt;&gt;"",INDEX($G$3:$I$228,MATCH($U100,$T$3:$T$228,0),COLUMNS($U$3:W100)),"")</f>
        <v/>
      </c>
      <c r="Z100" s="1" t="b">
        <f t="shared" si="5"/>
        <v>1</v>
      </c>
      <c r="AA100" s="1">
        <f>IF(Z100=TRUE,ROWS($Z$3:Z100),"")</f>
        <v>98</v>
      </c>
      <c r="AB100" s="1">
        <f>IFERROR(SMALL($AA$3:$AA$228,ROWS($AA$3:AA100)),"")</f>
        <v>98</v>
      </c>
      <c r="AC100" s="1" t="str">
        <f>IF(AB100&lt;&gt;"",INDEX($G$3:$I$228,MATCH($AB100,$AA$3:$AA$228,0),COLUMNS($AA$3:AA100)),"")</f>
        <v>Chandarana Highridge</v>
      </c>
      <c r="AD100" s="1">
        <f>IF(AC100&lt;&gt;"",INDEX($G$3:$I$228,MATCH($AB100,$AA$3:$AA$228,0),COLUMNS($AA$3:AB100)),"")</f>
        <v>71286.549999999988</v>
      </c>
      <c r="AE100" s="1" t="str">
        <f>IF(AD100&lt;&gt;"",INDEX($G$3:$I$228,MATCH($AB100,$AA$3:$AA$228,0),COLUMNS($AA$3:AC100)),"")</f>
        <v>Nairobi</v>
      </c>
    </row>
    <row r="101" spans="1:31" x14ac:dyDescent="0.2">
      <c r="A101" s="2">
        <v>44748</v>
      </c>
      <c r="B101" s="1" t="s">
        <v>113</v>
      </c>
      <c r="C101" s="1" t="s">
        <v>3</v>
      </c>
      <c r="D101" s="1">
        <v>132736</v>
      </c>
      <c r="E101" s="3">
        <v>100950.27</v>
      </c>
      <c r="F101" s="1" t="s">
        <v>9</v>
      </c>
      <c r="G101" s="1" t="s">
        <v>201</v>
      </c>
      <c r="H101" s="3">
        <f>SUMIFS(Table1[Value],Table1[Outlets],G101)</f>
        <v>69824.100000000006</v>
      </c>
      <c r="I101" s="1" t="str">
        <f>IFERROR(VLOOKUP(G101,Table1[[Outlets]:[Region]],2,0),"")</f>
        <v>Nyanza</v>
      </c>
      <c r="K101" s="1" t="b">
        <f t="shared" si="3"/>
        <v>0</v>
      </c>
      <c r="L101" s="1" t="str">
        <f>IF(K101=TRUE,ROWS($J$3:J101),"")</f>
        <v/>
      </c>
      <c r="M101" s="1" t="str">
        <f>IFERROR(SMALL($L$3:$L$228,ROWS($L$3:L101)),"")</f>
        <v/>
      </c>
      <c r="N101" s="1" t="str">
        <f>IF(M101&lt;&gt;"",INDEX($G$3:$I$228,MATCH($M101,$L$3:$L$228,0),COLUMNS($L$3:L101)),"")</f>
        <v/>
      </c>
      <c r="O101" s="3" t="str">
        <f>IF(N101&lt;&gt;"",INDEX($G$3:$I$228,MATCH($M101,$L$3:$L$228,0),COLUMNS($L$3:M101)),"")</f>
        <v/>
      </c>
      <c r="P101" s="1" t="str">
        <f>IF(O101&lt;&gt;"",INDEX($G$3:$I$228,MATCH($M101,$L$3:$L$228,0),COLUMNS($L$3:N101)),"")</f>
        <v/>
      </c>
      <c r="S101" s="1" t="b">
        <f t="shared" si="4"/>
        <v>0</v>
      </c>
      <c r="T101" s="1" t="str">
        <f>IF(S101=TRUE,ROWS($S$3:S101),"")</f>
        <v/>
      </c>
      <c r="U101" s="1" t="str">
        <f>IFERROR(SMALL($T$3:$T$228,ROWS($T$3:T101)),"")</f>
        <v/>
      </c>
      <c r="V101" s="1" t="str">
        <f>IF(U101&lt;&gt;"",INDEX($G$3:$I$228,MATCH($U101,$T$3:$T$228,0),COLUMNS($U$3:U101)),"")</f>
        <v/>
      </c>
      <c r="W101" s="1" t="str">
        <f>IF(V101&lt;&gt;"",INDEX($G$3:$I$228,MATCH($U101,$T$3:$T$228,0),COLUMNS($U$3:V101)),"")</f>
        <v/>
      </c>
      <c r="X101" s="1" t="str">
        <f>IF(W101&lt;&gt;"",INDEX($G$3:$I$228,MATCH($U101,$T$3:$T$228,0),COLUMNS($U$3:W101)),"")</f>
        <v/>
      </c>
      <c r="Z101" s="1" t="b">
        <f t="shared" si="5"/>
        <v>1</v>
      </c>
      <c r="AA101" s="1">
        <f>IF(Z101=TRUE,ROWS($Z$3:Z101),"")</f>
        <v>99</v>
      </c>
      <c r="AB101" s="1">
        <f>IFERROR(SMALL($AA$3:$AA$228,ROWS($AA$3:AA101)),"")</f>
        <v>99</v>
      </c>
      <c r="AC101" s="1" t="str">
        <f>IF(AB101&lt;&gt;"",INDEX($G$3:$I$228,MATCH($AB101,$AA$3:$AA$228,0),COLUMNS($AA$3:AA101)),"")</f>
        <v>Naivas Kisumu</v>
      </c>
      <c r="AD101" s="1">
        <f>IF(AC101&lt;&gt;"",INDEX($G$3:$I$228,MATCH($AB101,$AA$3:$AA$228,0),COLUMNS($AA$3:AB101)),"")</f>
        <v>69824.100000000006</v>
      </c>
      <c r="AE101" s="1" t="str">
        <f>IF(AD101&lt;&gt;"",INDEX($G$3:$I$228,MATCH($AB101,$AA$3:$AA$228,0),COLUMNS($AA$3:AC101)),"")</f>
        <v>Nyanza</v>
      </c>
    </row>
    <row r="102" spans="1:31" x14ac:dyDescent="0.2">
      <c r="A102" s="2">
        <v>44748</v>
      </c>
      <c r="B102" s="1" t="s">
        <v>114</v>
      </c>
      <c r="C102" s="1" t="s">
        <v>3</v>
      </c>
      <c r="D102" s="1">
        <v>132737</v>
      </c>
      <c r="E102" s="3">
        <v>89568.21</v>
      </c>
      <c r="F102" s="1" t="s">
        <v>9</v>
      </c>
      <c r="G102" s="1" t="s">
        <v>209</v>
      </c>
      <c r="H102" s="3">
        <f>SUMIFS(Table1[Value],Table1[Outlets],G102)</f>
        <v>69723.41</v>
      </c>
      <c r="I102" s="1" t="str">
        <f>IFERROR(VLOOKUP(G102,Table1[[Outlets]:[Region]],2,0),"")</f>
        <v>Nairobi</v>
      </c>
      <c r="K102" s="1" t="b">
        <f t="shared" si="3"/>
        <v>0</v>
      </c>
      <c r="L102" s="1" t="str">
        <f>IF(K102=TRUE,ROWS($J$3:J102),"")</f>
        <v/>
      </c>
      <c r="M102" s="1" t="str">
        <f>IFERROR(SMALL($L$3:$L$228,ROWS($L$3:L102)),"")</f>
        <v/>
      </c>
      <c r="N102" s="1" t="str">
        <f>IF(M102&lt;&gt;"",INDEX($G$3:$I$228,MATCH($M102,$L$3:$L$228,0),COLUMNS($L$3:L102)),"")</f>
        <v/>
      </c>
      <c r="O102" s="3" t="str">
        <f>IF(N102&lt;&gt;"",INDEX($G$3:$I$228,MATCH($M102,$L$3:$L$228,0),COLUMNS($L$3:M102)),"")</f>
        <v/>
      </c>
      <c r="P102" s="1" t="str">
        <f>IF(O102&lt;&gt;"",INDEX($G$3:$I$228,MATCH($M102,$L$3:$L$228,0),COLUMNS($L$3:N102)),"")</f>
        <v/>
      </c>
      <c r="S102" s="1" t="b">
        <f t="shared" si="4"/>
        <v>0</v>
      </c>
      <c r="T102" s="1" t="str">
        <f>IF(S102=TRUE,ROWS($S$3:S102),"")</f>
        <v/>
      </c>
      <c r="U102" s="1" t="str">
        <f>IFERROR(SMALL($T$3:$T$228,ROWS($T$3:T102)),"")</f>
        <v/>
      </c>
      <c r="V102" s="1" t="str">
        <f>IF(U102&lt;&gt;"",INDEX($G$3:$I$228,MATCH($U102,$T$3:$T$228,0),COLUMNS($U$3:U102)),"")</f>
        <v/>
      </c>
      <c r="W102" s="1" t="str">
        <f>IF(V102&lt;&gt;"",INDEX($G$3:$I$228,MATCH($U102,$T$3:$T$228,0),COLUMNS($U$3:V102)),"")</f>
        <v/>
      </c>
      <c r="X102" s="1" t="str">
        <f>IF(W102&lt;&gt;"",INDEX($G$3:$I$228,MATCH($U102,$T$3:$T$228,0),COLUMNS($U$3:W102)),"")</f>
        <v/>
      </c>
      <c r="Z102" s="1" t="b">
        <f t="shared" si="5"/>
        <v>1</v>
      </c>
      <c r="AA102" s="1">
        <f>IF(Z102=TRUE,ROWS($Z$3:Z102),"")</f>
        <v>100</v>
      </c>
      <c r="AB102" s="1">
        <f>IFERROR(SMALL($AA$3:$AA$228,ROWS($AA$3:AA102)),"")</f>
        <v>100</v>
      </c>
      <c r="AC102" s="1" t="str">
        <f>IF(AB102&lt;&gt;"",INDEX($G$3:$I$228,MATCH($AB102,$AA$3:$AA$228,0),COLUMNS($AA$3:AA102)),"")</f>
        <v>Quickmart Utawala Express</v>
      </c>
      <c r="AD102" s="1">
        <f>IF(AC102&lt;&gt;"",INDEX($G$3:$I$228,MATCH($AB102,$AA$3:$AA$228,0),COLUMNS($AA$3:AB102)),"")</f>
        <v>69723.41</v>
      </c>
      <c r="AE102" s="1" t="str">
        <f>IF(AD102&lt;&gt;"",INDEX($G$3:$I$228,MATCH($AB102,$AA$3:$AA$228,0),COLUMNS($AA$3:AC102)),"")</f>
        <v>Nairobi</v>
      </c>
    </row>
    <row r="103" spans="1:31" x14ac:dyDescent="0.2">
      <c r="A103" s="2">
        <v>44748</v>
      </c>
      <c r="B103" s="1" t="s">
        <v>115</v>
      </c>
      <c r="C103" s="1" t="s">
        <v>3</v>
      </c>
      <c r="D103" s="1">
        <v>132738</v>
      </c>
      <c r="E103" s="3">
        <v>12316.82</v>
      </c>
      <c r="F103" s="1" t="s">
        <v>11</v>
      </c>
      <c r="G103" s="1" t="s">
        <v>165</v>
      </c>
      <c r="H103" s="3">
        <f>SUMIFS(Table1[Value],Table1[Outlets],G103)</f>
        <v>67757.790000000008</v>
      </c>
      <c r="I103" s="1" t="str">
        <f>IFERROR(VLOOKUP(G103,Table1[[Outlets]:[Region]],2,0),"")</f>
        <v>Nairobi</v>
      </c>
      <c r="K103" s="1" t="b">
        <f t="shared" si="3"/>
        <v>0</v>
      </c>
      <c r="L103" s="1" t="str">
        <f>IF(K103=TRUE,ROWS($J$3:J103),"")</f>
        <v/>
      </c>
      <c r="M103" s="1" t="str">
        <f>IFERROR(SMALL($L$3:$L$228,ROWS($L$3:L103)),"")</f>
        <v/>
      </c>
      <c r="N103" s="1" t="str">
        <f>IF(M103&lt;&gt;"",INDEX($G$3:$I$228,MATCH($M103,$L$3:$L$228,0),COLUMNS($L$3:L103)),"")</f>
        <v/>
      </c>
      <c r="O103" s="3" t="str">
        <f>IF(N103&lt;&gt;"",INDEX($G$3:$I$228,MATCH($M103,$L$3:$L$228,0),COLUMNS($L$3:M103)),"")</f>
        <v/>
      </c>
      <c r="P103" s="1" t="str">
        <f>IF(O103&lt;&gt;"",INDEX($G$3:$I$228,MATCH($M103,$L$3:$L$228,0),COLUMNS($L$3:N103)),"")</f>
        <v/>
      </c>
      <c r="S103" s="1" t="b">
        <f t="shared" si="4"/>
        <v>0</v>
      </c>
      <c r="T103" s="1" t="str">
        <f>IF(S103=TRUE,ROWS($S$3:S103),"")</f>
        <v/>
      </c>
      <c r="U103" s="1" t="str">
        <f>IFERROR(SMALL($T$3:$T$228,ROWS($T$3:T103)),"")</f>
        <v/>
      </c>
      <c r="V103" s="1" t="str">
        <f>IF(U103&lt;&gt;"",INDEX($G$3:$I$228,MATCH($U103,$T$3:$T$228,0),COLUMNS($U$3:U103)),"")</f>
        <v/>
      </c>
      <c r="W103" s="1" t="str">
        <f>IF(V103&lt;&gt;"",INDEX($G$3:$I$228,MATCH($U103,$T$3:$T$228,0),COLUMNS($U$3:V103)),"")</f>
        <v/>
      </c>
      <c r="X103" s="1" t="str">
        <f>IF(W103&lt;&gt;"",INDEX($G$3:$I$228,MATCH($U103,$T$3:$T$228,0),COLUMNS($U$3:W103)),"")</f>
        <v/>
      </c>
      <c r="Z103" s="1" t="b">
        <f t="shared" si="5"/>
        <v>1</v>
      </c>
      <c r="AA103" s="1">
        <f>IF(Z103=TRUE,ROWS($Z$3:Z103),"")</f>
        <v>101</v>
      </c>
      <c r="AB103" s="1">
        <f>IFERROR(SMALL($AA$3:$AA$228,ROWS($AA$3:AA103)),"")</f>
        <v>101</v>
      </c>
      <c r="AC103" s="1" t="str">
        <f>IF(AB103&lt;&gt;"",INDEX($G$3:$I$228,MATCH($AB103,$AA$3:$AA$228,0),COLUMNS($AA$3:AA103)),"")</f>
        <v>Quickmart Rongai Main</v>
      </c>
      <c r="AD103" s="1">
        <f>IF(AC103&lt;&gt;"",INDEX($G$3:$I$228,MATCH($AB103,$AA$3:$AA$228,0),COLUMNS($AA$3:AB103)),"")</f>
        <v>67757.790000000008</v>
      </c>
      <c r="AE103" s="1" t="str">
        <f>IF(AD103&lt;&gt;"",INDEX($G$3:$I$228,MATCH($AB103,$AA$3:$AA$228,0),COLUMNS($AA$3:AC103)),"")</f>
        <v>Nairobi</v>
      </c>
    </row>
    <row r="104" spans="1:31" x14ac:dyDescent="0.2">
      <c r="A104" s="2">
        <v>44748</v>
      </c>
      <c r="B104" s="1" t="s">
        <v>116</v>
      </c>
      <c r="C104" s="1" t="s">
        <v>3</v>
      </c>
      <c r="D104" s="1">
        <v>132739</v>
      </c>
      <c r="E104" s="3">
        <v>25144.65</v>
      </c>
      <c r="F104" s="1" t="s">
        <v>15</v>
      </c>
      <c r="G104" s="1" t="s">
        <v>126</v>
      </c>
      <c r="H104" s="3">
        <f>SUMIFS(Table1[Value],Table1[Outlets],G104)</f>
        <v>65777.52</v>
      </c>
      <c r="I104" s="1" t="str">
        <f>IFERROR(VLOOKUP(G104,Table1[[Outlets]:[Region]],2,0),"")</f>
        <v>Nairobi</v>
      </c>
      <c r="K104" s="1" t="b">
        <f t="shared" si="3"/>
        <v>0</v>
      </c>
      <c r="L104" s="1" t="str">
        <f>IF(K104=TRUE,ROWS($J$3:J104),"")</f>
        <v/>
      </c>
      <c r="M104" s="1" t="str">
        <f>IFERROR(SMALL($L$3:$L$228,ROWS($L$3:L104)),"")</f>
        <v/>
      </c>
      <c r="N104" s="1" t="str">
        <f>IF(M104&lt;&gt;"",INDEX($G$3:$I$228,MATCH($M104,$L$3:$L$228,0),COLUMNS($L$3:L104)),"")</f>
        <v/>
      </c>
      <c r="O104" s="3" t="str">
        <f>IF(N104&lt;&gt;"",INDEX($G$3:$I$228,MATCH($M104,$L$3:$L$228,0),COLUMNS($L$3:M104)),"")</f>
        <v/>
      </c>
      <c r="P104" s="1" t="str">
        <f>IF(O104&lt;&gt;"",INDEX($G$3:$I$228,MATCH($M104,$L$3:$L$228,0),COLUMNS($L$3:N104)),"")</f>
        <v/>
      </c>
      <c r="S104" s="1" t="b">
        <f t="shared" si="4"/>
        <v>0</v>
      </c>
      <c r="T104" s="1" t="str">
        <f>IF(S104=TRUE,ROWS($S$3:S104),"")</f>
        <v/>
      </c>
      <c r="U104" s="1" t="str">
        <f>IFERROR(SMALL($T$3:$T$228,ROWS($T$3:T104)),"")</f>
        <v/>
      </c>
      <c r="V104" s="1" t="str">
        <f>IF(U104&lt;&gt;"",INDEX($G$3:$I$228,MATCH($U104,$T$3:$T$228,0),COLUMNS($U$3:U104)),"")</f>
        <v/>
      </c>
      <c r="W104" s="1" t="str">
        <f>IF(V104&lt;&gt;"",INDEX($G$3:$I$228,MATCH($U104,$T$3:$T$228,0),COLUMNS($U$3:V104)),"")</f>
        <v/>
      </c>
      <c r="X104" s="1" t="str">
        <f>IF(W104&lt;&gt;"",INDEX($G$3:$I$228,MATCH($U104,$T$3:$T$228,0),COLUMNS($U$3:W104)),"")</f>
        <v/>
      </c>
      <c r="Z104" s="1" t="b">
        <f t="shared" si="5"/>
        <v>1</v>
      </c>
      <c r="AA104" s="1">
        <f>IF(Z104=TRUE,ROWS($Z$3:Z104),"")</f>
        <v>102</v>
      </c>
      <c r="AB104" s="1">
        <f>IFERROR(SMALL($AA$3:$AA$228,ROWS($AA$3:AA104)),"")</f>
        <v>102</v>
      </c>
      <c r="AC104" s="1" t="str">
        <f>IF(AB104&lt;&gt;"",INDEX($G$3:$I$228,MATCH($AB104,$AA$3:$AA$228,0),COLUMNS($AA$3:AA104)),"")</f>
        <v>Quickmart Kahawa West</v>
      </c>
      <c r="AD104" s="1">
        <f>IF(AC104&lt;&gt;"",INDEX($G$3:$I$228,MATCH($AB104,$AA$3:$AA$228,0),COLUMNS($AA$3:AB104)),"")</f>
        <v>65777.52</v>
      </c>
      <c r="AE104" s="1" t="str">
        <f>IF(AD104&lt;&gt;"",INDEX($G$3:$I$228,MATCH($AB104,$AA$3:$AA$228,0),COLUMNS($AA$3:AC104)),"")</f>
        <v>Nairobi</v>
      </c>
    </row>
    <row r="105" spans="1:31" x14ac:dyDescent="0.2">
      <c r="A105" s="2">
        <v>44748</v>
      </c>
      <c r="B105" s="1" t="s">
        <v>117</v>
      </c>
      <c r="C105" s="1" t="s">
        <v>250</v>
      </c>
      <c r="D105" s="1">
        <v>132744</v>
      </c>
      <c r="E105" s="3">
        <v>20961.53</v>
      </c>
      <c r="F105" s="1" t="s">
        <v>9</v>
      </c>
      <c r="G105" s="1" t="s">
        <v>155</v>
      </c>
      <c r="H105" s="3">
        <f>SUMIFS(Table1[Value],Table1[Outlets],G105)</f>
        <v>65546.94</v>
      </c>
      <c r="I105" s="1" t="str">
        <f>IFERROR(VLOOKUP(G105,Table1[[Outlets]:[Region]],2,0),"")</f>
        <v>Nairobi</v>
      </c>
      <c r="K105" s="1" t="b">
        <f t="shared" si="3"/>
        <v>0</v>
      </c>
      <c r="L105" s="1" t="str">
        <f>IF(K105=TRUE,ROWS($J$3:J105),"")</f>
        <v/>
      </c>
      <c r="M105" s="1" t="str">
        <f>IFERROR(SMALL($L$3:$L$228,ROWS($L$3:L105)),"")</f>
        <v/>
      </c>
      <c r="N105" s="1" t="str">
        <f>IF(M105&lt;&gt;"",INDEX($G$3:$I$228,MATCH($M105,$L$3:$L$228,0),COLUMNS($L$3:L105)),"")</f>
        <v/>
      </c>
      <c r="O105" s="3" t="str">
        <f>IF(N105&lt;&gt;"",INDEX($G$3:$I$228,MATCH($M105,$L$3:$L$228,0),COLUMNS($L$3:M105)),"")</f>
        <v/>
      </c>
      <c r="P105" s="1" t="str">
        <f>IF(O105&lt;&gt;"",INDEX($G$3:$I$228,MATCH($M105,$L$3:$L$228,0),COLUMNS($L$3:N105)),"")</f>
        <v/>
      </c>
      <c r="S105" s="1" t="b">
        <f t="shared" si="4"/>
        <v>0</v>
      </c>
      <c r="T105" s="1" t="str">
        <f>IF(S105=TRUE,ROWS($S$3:S105),"")</f>
        <v/>
      </c>
      <c r="U105" s="1" t="str">
        <f>IFERROR(SMALL($T$3:$T$228,ROWS($T$3:T105)),"")</f>
        <v/>
      </c>
      <c r="V105" s="1" t="str">
        <f>IF(U105&lt;&gt;"",INDEX($G$3:$I$228,MATCH($U105,$T$3:$T$228,0),COLUMNS($U$3:U105)),"")</f>
        <v/>
      </c>
      <c r="W105" s="1" t="str">
        <f>IF(V105&lt;&gt;"",INDEX($G$3:$I$228,MATCH($U105,$T$3:$T$228,0),COLUMNS($U$3:V105)),"")</f>
        <v/>
      </c>
      <c r="X105" s="1" t="str">
        <f>IF(W105&lt;&gt;"",INDEX($G$3:$I$228,MATCH($U105,$T$3:$T$228,0),COLUMNS($U$3:W105)),"")</f>
        <v/>
      </c>
      <c r="Z105" s="1" t="b">
        <f t="shared" si="5"/>
        <v>1</v>
      </c>
      <c r="AA105" s="1">
        <f>IF(Z105=TRUE,ROWS($Z$3:Z105),"")</f>
        <v>103</v>
      </c>
      <c r="AB105" s="1">
        <f>IFERROR(SMALL($AA$3:$AA$228,ROWS($AA$3:AA105)),"")</f>
        <v>103</v>
      </c>
      <c r="AC105" s="1" t="str">
        <f>IF(AB105&lt;&gt;"",INDEX($G$3:$I$228,MATCH($AB105,$AA$3:$AA$228,0),COLUMNS($AA$3:AA105)),"")</f>
        <v>Naivas Ciata</v>
      </c>
      <c r="AD105" s="1">
        <f>IF(AC105&lt;&gt;"",INDEX($G$3:$I$228,MATCH($AB105,$AA$3:$AA$228,0),COLUMNS($AA$3:AB105)),"")</f>
        <v>65546.94</v>
      </c>
      <c r="AE105" s="1" t="str">
        <f>IF(AD105&lt;&gt;"",INDEX($G$3:$I$228,MATCH($AB105,$AA$3:$AA$228,0),COLUMNS($AA$3:AC105)),"")</f>
        <v>Nairobi</v>
      </c>
    </row>
    <row r="106" spans="1:31" x14ac:dyDescent="0.2">
      <c r="A106" s="2">
        <v>44749</v>
      </c>
      <c r="B106" s="1" t="s">
        <v>118</v>
      </c>
      <c r="C106" s="1" t="s">
        <v>3</v>
      </c>
      <c r="D106" s="1">
        <v>132757</v>
      </c>
      <c r="E106" s="3">
        <v>24747.15</v>
      </c>
      <c r="F106" s="1" t="s">
        <v>11</v>
      </c>
      <c r="G106" s="1" t="s">
        <v>196</v>
      </c>
      <c r="H106" s="3">
        <f>SUMIFS(Table1[Value],Table1[Outlets],G106)</f>
        <v>64498.37</v>
      </c>
      <c r="I106" s="1" t="str">
        <f>IFERROR(VLOOKUP(G106,Table1[[Outlets]:[Region]],2,0),"")</f>
        <v>Nyanza</v>
      </c>
      <c r="K106" s="1" t="b">
        <f t="shared" si="3"/>
        <v>0</v>
      </c>
      <c r="L106" s="1" t="str">
        <f>IF(K106=TRUE,ROWS($J$3:J106),"")</f>
        <v/>
      </c>
      <c r="M106" s="1" t="str">
        <f>IFERROR(SMALL($L$3:$L$228,ROWS($L$3:L106)),"")</f>
        <v/>
      </c>
      <c r="N106" s="1" t="str">
        <f>IF(M106&lt;&gt;"",INDEX($G$3:$I$228,MATCH($M106,$L$3:$L$228,0),COLUMNS($L$3:L106)),"")</f>
        <v/>
      </c>
      <c r="O106" s="3" t="str">
        <f>IF(N106&lt;&gt;"",INDEX($G$3:$I$228,MATCH($M106,$L$3:$L$228,0),COLUMNS($L$3:M106)),"")</f>
        <v/>
      </c>
      <c r="P106" s="1" t="str">
        <f>IF(O106&lt;&gt;"",INDEX($G$3:$I$228,MATCH($M106,$L$3:$L$228,0),COLUMNS($L$3:N106)),"")</f>
        <v/>
      </c>
      <c r="S106" s="1" t="b">
        <f t="shared" si="4"/>
        <v>0</v>
      </c>
      <c r="T106" s="1" t="str">
        <f>IF(S106=TRUE,ROWS($S$3:S106),"")</f>
        <v/>
      </c>
      <c r="U106" s="1" t="str">
        <f>IFERROR(SMALL($T$3:$T$228,ROWS($T$3:T106)),"")</f>
        <v/>
      </c>
      <c r="V106" s="1" t="str">
        <f>IF(U106&lt;&gt;"",INDEX($G$3:$I$228,MATCH($U106,$T$3:$T$228,0),COLUMNS($U$3:U106)),"")</f>
        <v/>
      </c>
      <c r="W106" s="1" t="str">
        <f>IF(V106&lt;&gt;"",INDEX($G$3:$I$228,MATCH($U106,$T$3:$T$228,0),COLUMNS($U$3:V106)),"")</f>
        <v/>
      </c>
      <c r="X106" s="1" t="str">
        <f>IF(W106&lt;&gt;"",INDEX($G$3:$I$228,MATCH($U106,$T$3:$T$228,0),COLUMNS($U$3:W106)),"")</f>
        <v/>
      </c>
      <c r="Z106" s="1" t="b">
        <f t="shared" si="5"/>
        <v>1</v>
      </c>
      <c r="AA106" s="1">
        <f>IF(Z106=TRUE,ROWS($Z$3:Z106),"")</f>
        <v>104</v>
      </c>
      <c r="AB106" s="1">
        <f>IFERROR(SMALL($AA$3:$AA$228,ROWS($AA$3:AA106)),"")</f>
        <v>104</v>
      </c>
      <c r="AC106" s="1" t="str">
        <f>IF(AB106&lt;&gt;"",INDEX($G$3:$I$228,MATCH($AB106,$AA$3:$AA$228,0),COLUMNS($AA$3:AA106)),"")</f>
        <v>Quickmart Kisii</v>
      </c>
      <c r="AD106" s="1">
        <f>IF(AC106&lt;&gt;"",INDEX($G$3:$I$228,MATCH($AB106,$AA$3:$AA$228,0),COLUMNS($AA$3:AB106)),"")</f>
        <v>64498.37</v>
      </c>
      <c r="AE106" s="1" t="str">
        <f>IF(AD106&lt;&gt;"",INDEX($G$3:$I$228,MATCH($AB106,$AA$3:$AA$228,0),COLUMNS($AA$3:AC106)),"")</f>
        <v>Nyanza</v>
      </c>
    </row>
    <row r="107" spans="1:31" x14ac:dyDescent="0.2">
      <c r="A107" s="2">
        <v>44749</v>
      </c>
      <c r="B107" s="1" t="s">
        <v>119</v>
      </c>
      <c r="C107" s="1" t="s">
        <v>3</v>
      </c>
      <c r="D107" s="1">
        <v>132758</v>
      </c>
      <c r="E107" s="3">
        <v>10241.39</v>
      </c>
      <c r="F107" s="1" t="s">
        <v>11</v>
      </c>
      <c r="G107" s="1" t="s">
        <v>121</v>
      </c>
      <c r="H107" s="3">
        <f>SUMIFS(Table1[Value],Table1[Outlets],G107)</f>
        <v>63340.880000000005</v>
      </c>
      <c r="I107" s="1" t="str">
        <f>IFERROR(VLOOKUP(G107,Table1[[Outlets]:[Region]],2,0),"")</f>
        <v>Nairobi</v>
      </c>
      <c r="K107" s="1" t="b">
        <f t="shared" si="3"/>
        <v>0</v>
      </c>
      <c r="L107" s="1" t="str">
        <f>IF(K107=TRUE,ROWS($J$3:J107),"")</f>
        <v/>
      </c>
      <c r="M107" s="1" t="str">
        <f>IFERROR(SMALL($L$3:$L$228,ROWS($L$3:L107)),"")</f>
        <v/>
      </c>
      <c r="N107" s="1" t="str">
        <f>IF(M107&lt;&gt;"",INDEX($G$3:$I$228,MATCH($M107,$L$3:$L$228,0),COLUMNS($L$3:L107)),"")</f>
        <v/>
      </c>
      <c r="O107" s="3" t="str">
        <f>IF(N107&lt;&gt;"",INDEX($G$3:$I$228,MATCH($M107,$L$3:$L$228,0),COLUMNS($L$3:M107)),"")</f>
        <v/>
      </c>
      <c r="P107" s="1" t="str">
        <f>IF(O107&lt;&gt;"",INDEX($G$3:$I$228,MATCH($M107,$L$3:$L$228,0),COLUMNS($L$3:N107)),"")</f>
        <v/>
      </c>
      <c r="S107" s="1" t="b">
        <f t="shared" si="4"/>
        <v>0</v>
      </c>
      <c r="T107" s="1" t="str">
        <f>IF(S107=TRUE,ROWS($S$3:S107),"")</f>
        <v/>
      </c>
      <c r="U107" s="1" t="str">
        <f>IFERROR(SMALL($T$3:$T$228,ROWS($T$3:T107)),"")</f>
        <v/>
      </c>
      <c r="V107" s="1" t="str">
        <f>IF(U107&lt;&gt;"",INDEX($G$3:$I$228,MATCH($U107,$T$3:$T$228,0),COLUMNS($U$3:U107)),"")</f>
        <v/>
      </c>
      <c r="W107" s="1" t="str">
        <f>IF(V107&lt;&gt;"",INDEX($G$3:$I$228,MATCH($U107,$T$3:$T$228,0),COLUMNS($U$3:V107)),"")</f>
        <v/>
      </c>
      <c r="X107" s="1" t="str">
        <f>IF(W107&lt;&gt;"",INDEX($G$3:$I$228,MATCH($U107,$T$3:$T$228,0),COLUMNS($U$3:W107)),"")</f>
        <v/>
      </c>
      <c r="Z107" s="1" t="b">
        <f t="shared" si="5"/>
        <v>1</v>
      </c>
      <c r="AA107" s="1">
        <f>IF(Z107=TRUE,ROWS($Z$3:Z107),"")</f>
        <v>105</v>
      </c>
      <c r="AB107" s="1">
        <f>IFERROR(SMALL($AA$3:$AA$228,ROWS($AA$3:AA107)),"")</f>
        <v>105</v>
      </c>
      <c r="AC107" s="1" t="str">
        <f>IF(AB107&lt;&gt;"",INDEX($G$3:$I$228,MATCH($AB107,$AA$3:$AA$228,0),COLUMNS($AA$3:AA107)),"")</f>
        <v>Powerstar Kasarani</v>
      </c>
      <c r="AD107" s="1">
        <f>IF(AC107&lt;&gt;"",INDEX($G$3:$I$228,MATCH($AB107,$AA$3:$AA$228,0),COLUMNS($AA$3:AB107)),"")</f>
        <v>63340.880000000005</v>
      </c>
      <c r="AE107" s="1" t="str">
        <f>IF(AD107&lt;&gt;"",INDEX($G$3:$I$228,MATCH($AB107,$AA$3:$AA$228,0),COLUMNS($AA$3:AC107)),"")</f>
        <v>Nairobi</v>
      </c>
    </row>
    <row r="108" spans="1:31" x14ac:dyDescent="0.2">
      <c r="A108" s="2">
        <v>44749</v>
      </c>
      <c r="B108" s="1" t="s">
        <v>120</v>
      </c>
      <c r="C108" s="1" t="s">
        <v>3</v>
      </c>
      <c r="D108" s="1">
        <v>132759</v>
      </c>
      <c r="E108" s="3">
        <v>22584.06</v>
      </c>
      <c r="F108" s="1" t="s">
        <v>13</v>
      </c>
      <c r="G108" s="1" t="s">
        <v>98</v>
      </c>
      <c r="H108" s="3">
        <f>SUMIFS(Table1[Value],Table1[Outlets],G108)</f>
        <v>62768.020000000004</v>
      </c>
      <c r="I108" s="1" t="str">
        <f>IFERROR(VLOOKUP(G108,Table1[[Outlets]:[Region]],2,0),"")</f>
        <v>Nairobi</v>
      </c>
      <c r="K108" s="1" t="b">
        <f t="shared" si="3"/>
        <v>0</v>
      </c>
      <c r="L108" s="1" t="str">
        <f>IF(K108=TRUE,ROWS($J$3:J108),"")</f>
        <v/>
      </c>
      <c r="M108" s="1" t="str">
        <f>IFERROR(SMALL($L$3:$L$228,ROWS($L$3:L108)),"")</f>
        <v/>
      </c>
      <c r="N108" s="1" t="str">
        <f>IF(M108&lt;&gt;"",INDEX($G$3:$I$228,MATCH($M108,$L$3:$L$228,0),COLUMNS($L$3:L108)),"")</f>
        <v/>
      </c>
      <c r="O108" s="3" t="str">
        <f>IF(N108&lt;&gt;"",INDEX($G$3:$I$228,MATCH($M108,$L$3:$L$228,0),COLUMNS($L$3:M108)),"")</f>
        <v/>
      </c>
      <c r="P108" s="1" t="str">
        <f>IF(O108&lt;&gt;"",INDEX($G$3:$I$228,MATCH($M108,$L$3:$L$228,0),COLUMNS($L$3:N108)),"")</f>
        <v/>
      </c>
      <c r="S108" s="1" t="b">
        <f t="shared" si="4"/>
        <v>0</v>
      </c>
      <c r="T108" s="1" t="str">
        <f>IF(S108=TRUE,ROWS($S$3:S108),"")</f>
        <v/>
      </c>
      <c r="U108" s="1" t="str">
        <f>IFERROR(SMALL($T$3:$T$228,ROWS($T$3:T108)),"")</f>
        <v/>
      </c>
      <c r="V108" s="1" t="str">
        <f>IF(U108&lt;&gt;"",INDEX($G$3:$I$228,MATCH($U108,$T$3:$T$228,0),COLUMNS($U$3:U108)),"")</f>
        <v/>
      </c>
      <c r="W108" s="1" t="str">
        <f>IF(V108&lt;&gt;"",INDEX($G$3:$I$228,MATCH($U108,$T$3:$T$228,0),COLUMNS($U$3:V108)),"")</f>
        <v/>
      </c>
      <c r="X108" s="1" t="str">
        <f>IF(W108&lt;&gt;"",INDEX($G$3:$I$228,MATCH($U108,$T$3:$T$228,0),COLUMNS($U$3:W108)),"")</f>
        <v/>
      </c>
      <c r="Z108" s="1" t="b">
        <f t="shared" si="5"/>
        <v>1</v>
      </c>
      <c r="AA108" s="1">
        <f>IF(Z108=TRUE,ROWS($Z$3:Z108),"")</f>
        <v>106</v>
      </c>
      <c r="AB108" s="1">
        <f>IFERROR(SMALL($AA$3:$AA$228,ROWS($AA$3:AA108)),"")</f>
        <v>106</v>
      </c>
      <c r="AC108" s="1" t="str">
        <f>IF(AB108&lt;&gt;"",INDEX($G$3:$I$228,MATCH($AB108,$AA$3:$AA$228,0),COLUMNS($AA$3:AA108)),"")</f>
        <v>Quickmart Cross Road Karen</v>
      </c>
      <c r="AD108" s="1">
        <f>IF(AC108&lt;&gt;"",INDEX($G$3:$I$228,MATCH($AB108,$AA$3:$AA$228,0),COLUMNS($AA$3:AB108)),"")</f>
        <v>62768.020000000004</v>
      </c>
      <c r="AE108" s="1" t="str">
        <f>IF(AD108&lt;&gt;"",INDEX($G$3:$I$228,MATCH($AB108,$AA$3:$AA$228,0),COLUMNS($AA$3:AC108)),"")</f>
        <v>Nairobi</v>
      </c>
    </row>
    <row r="109" spans="1:31" x14ac:dyDescent="0.2">
      <c r="A109" s="2">
        <v>44749</v>
      </c>
      <c r="B109" s="1" t="s">
        <v>121</v>
      </c>
      <c r="C109" s="1" t="s">
        <v>3</v>
      </c>
      <c r="D109" s="1">
        <v>132761</v>
      </c>
      <c r="E109" s="3">
        <v>26978.81</v>
      </c>
      <c r="F109" s="1" t="s">
        <v>13</v>
      </c>
      <c r="G109" s="1" t="s">
        <v>120</v>
      </c>
      <c r="H109" s="3">
        <f>SUMIFS(Table1[Value],Table1[Outlets],G109)</f>
        <v>62620.45</v>
      </c>
      <c r="I109" s="1" t="str">
        <f>IFERROR(VLOOKUP(G109,Table1[[Outlets]:[Region]],2,0),"")</f>
        <v>Nairobi</v>
      </c>
      <c r="K109" s="1" t="b">
        <f t="shared" si="3"/>
        <v>0</v>
      </c>
      <c r="L109" s="1" t="str">
        <f>IF(K109=TRUE,ROWS($J$3:J109),"")</f>
        <v/>
      </c>
      <c r="M109" s="1" t="str">
        <f>IFERROR(SMALL($L$3:$L$228,ROWS($L$3:L109)),"")</f>
        <v/>
      </c>
      <c r="N109" s="1" t="str">
        <f>IF(M109&lt;&gt;"",INDEX($G$3:$I$228,MATCH($M109,$L$3:$L$228,0),COLUMNS($L$3:L109)),"")</f>
        <v/>
      </c>
      <c r="O109" s="3" t="str">
        <f>IF(N109&lt;&gt;"",INDEX($G$3:$I$228,MATCH($M109,$L$3:$L$228,0),COLUMNS($L$3:M109)),"")</f>
        <v/>
      </c>
      <c r="P109" s="1" t="str">
        <f>IF(O109&lt;&gt;"",INDEX($G$3:$I$228,MATCH($M109,$L$3:$L$228,0),COLUMNS($L$3:N109)),"")</f>
        <v/>
      </c>
      <c r="S109" s="1" t="b">
        <f t="shared" si="4"/>
        <v>0</v>
      </c>
      <c r="T109" s="1" t="str">
        <f>IF(S109=TRUE,ROWS($S$3:S109),"")</f>
        <v/>
      </c>
      <c r="U109" s="1" t="str">
        <f>IFERROR(SMALL($T$3:$T$228,ROWS($T$3:T109)),"")</f>
        <v/>
      </c>
      <c r="V109" s="1" t="str">
        <f>IF(U109&lt;&gt;"",INDEX($G$3:$I$228,MATCH($U109,$T$3:$T$228,0),COLUMNS($U$3:U109)),"")</f>
        <v/>
      </c>
      <c r="W109" s="1" t="str">
        <f>IF(V109&lt;&gt;"",INDEX($G$3:$I$228,MATCH($U109,$T$3:$T$228,0),COLUMNS($U$3:V109)),"")</f>
        <v/>
      </c>
      <c r="X109" s="1" t="str">
        <f>IF(W109&lt;&gt;"",INDEX($G$3:$I$228,MATCH($U109,$T$3:$T$228,0),COLUMNS($U$3:W109)),"")</f>
        <v/>
      </c>
      <c r="Z109" s="1" t="b">
        <f t="shared" si="5"/>
        <v>1</v>
      </c>
      <c r="AA109" s="1">
        <f>IF(Z109=TRUE,ROWS($Z$3:Z109),"")</f>
        <v>107</v>
      </c>
      <c r="AB109" s="1">
        <f>IFERROR(SMALL($AA$3:$AA$228,ROWS($AA$3:AA109)),"")</f>
        <v>107</v>
      </c>
      <c r="AC109" s="1" t="str">
        <f>IF(AB109&lt;&gt;"",INDEX($G$3:$I$228,MATCH($AB109,$AA$3:$AA$228,0),COLUMNS($AA$3:AA109)),"")</f>
        <v>Powerstar Zimmerman</v>
      </c>
      <c r="AD109" s="1">
        <f>IF(AC109&lt;&gt;"",INDEX($G$3:$I$228,MATCH($AB109,$AA$3:$AA$228,0),COLUMNS($AA$3:AB109)),"")</f>
        <v>62620.45</v>
      </c>
      <c r="AE109" s="1" t="str">
        <f>IF(AD109&lt;&gt;"",INDEX($G$3:$I$228,MATCH($AB109,$AA$3:$AA$228,0),COLUMNS($AA$3:AC109)),"")</f>
        <v>Nairobi</v>
      </c>
    </row>
    <row r="110" spans="1:31" x14ac:dyDescent="0.2">
      <c r="A110" s="2">
        <v>44749</v>
      </c>
      <c r="B110" s="1" t="s">
        <v>122</v>
      </c>
      <c r="C110" s="1" t="s">
        <v>3</v>
      </c>
      <c r="D110" s="1">
        <v>132762</v>
      </c>
      <c r="E110" s="3">
        <v>8161</v>
      </c>
      <c r="F110" s="1" t="s">
        <v>5</v>
      </c>
      <c r="G110" s="1" t="s">
        <v>111</v>
      </c>
      <c r="H110" s="3">
        <f>SUMIFS(Table1[Value],Table1[Outlets],G110)</f>
        <v>62186.380000000005</v>
      </c>
      <c r="I110" s="1" t="str">
        <f>IFERROR(VLOOKUP(G110,Table1[[Outlets]:[Region]],2,0),"")</f>
        <v>Nairobi</v>
      </c>
      <c r="K110" s="1" t="b">
        <f t="shared" si="3"/>
        <v>0</v>
      </c>
      <c r="L110" s="1" t="str">
        <f>IF(K110=TRUE,ROWS($J$3:J110),"")</f>
        <v/>
      </c>
      <c r="M110" s="1" t="str">
        <f>IFERROR(SMALL($L$3:$L$228,ROWS($L$3:L110)),"")</f>
        <v/>
      </c>
      <c r="N110" s="1" t="str">
        <f>IF(M110&lt;&gt;"",INDEX($G$3:$I$228,MATCH($M110,$L$3:$L$228,0),COLUMNS($L$3:L110)),"")</f>
        <v/>
      </c>
      <c r="O110" s="3" t="str">
        <f>IF(N110&lt;&gt;"",INDEX($G$3:$I$228,MATCH($M110,$L$3:$L$228,0),COLUMNS($L$3:M110)),"")</f>
        <v/>
      </c>
      <c r="P110" s="1" t="str">
        <f>IF(O110&lt;&gt;"",INDEX($G$3:$I$228,MATCH($M110,$L$3:$L$228,0),COLUMNS($L$3:N110)),"")</f>
        <v/>
      </c>
      <c r="S110" s="1" t="b">
        <f t="shared" si="4"/>
        <v>0</v>
      </c>
      <c r="T110" s="1" t="str">
        <f>IF(S110=TRUE,ROWS($S$3:S110),"")</f>
        <v/>
      </c>
      <c r="U110" s="1" t="str">
        <f>IFERROR(SMALL($T$3:$T$228,ROWS($T$3:T110)),"")</f>
        <v/>
      </c>
      <c r="V110" s="1" t="str">
        <f>IF(U110&lt;&gt;"",INDEX($G$3:$I$228,MATCH($U110,$T$3:$T$228,0),COLUMNS($U$3:U110)),"")</f>
        <v/>
      </c>
      <c r="W110" s="1" t="str">
        <f>IF(V110&lt;&gt;"",INDEX($G$3:$I$228,MATCH($U110,$T$3:$T$228,0),COLUMNS($U$3:V110)),"")</f>
        <v/>
      </c>
      <c r="X110" s="1" t="str">
        <f>IF(W110&lt;&gt;"",INDEX($G$3:$I$228,MATCH($U110,$T$3:$T$228,0),COLUMNS($U$3:W110)),"")</f>
        <v/>
      </c>
      <c r="Z110" s="1" t="b">
        <f t="shared" si="5"/>
        <v>1</v>
      </c>
      <c r="AA110" s="1">
        <f>IF(Z110=TRUE,ROWS($Z$3:Z110),"")</f>
        <v>108</v>
      </c>
      <c r="AB110" s="1">
        <f>IFERROR(SMALL($AA$3:$AA$228,ROWS($AA$3:AA110)),"")</f>
        <v>108</v>
      </c>
      <c r="AC110" s="1" t="str">
        <f>IF(AB110&lt;&gt;"",INDEX($G$3:$I$228,MATCH($AB110,$AA$3:$AA$228,0),COLUMNS($AA$3:AA110)),"")</f>
        <v>Naivas Machakos Super C</v>
      </c>
      <c r="AD110" s="1">
        <f>IF(AC110&lt;&gt;"",INDEX($G$3:$I$228,MATCH($AB110,$AA$3:$AA$228,0),COLUMNS($AA$3:AB110)),"")</f>
        <v>62186.380000000005</v>
      </c>
      <c r="AE110" s="1" t="str">
        <f>IF(AD110&lt;&gt;"",INDEX($G$3:$I$228,MATCH($AB110,$AA$3:$AA$228,0),COLUMNS($AA$3:AC110)),"")</f>
        <v>Nairobi</v>
      </c>
    </row>
    <row r="111" spans="1:31" x14ac:dyDescent="0.2">
      <c r="A111" s="2">
        <v>44749</v>
      </c>
      <c r="B111" s="1" t="s">
        <v>123</v>
      </c>
      <c r="C111" s="1" t="s">
        <v>3</v>
      </c>
      <c r="D111" s="1">
        <v>132764</v>
      </c>
      <c r="E111" s="3">
        <v>12239.24</v>
      </c>
      <c r="F111" s="1" t="s">
        <v>11</v>
      </c>
      <c r="G111" s="1" t="s">
        <v>228</v>
      </c>
      <c r="H111" s="3">
        <f>SUMIFS(Table1[Value],Table1[Outlets],G111)</f>
        <v>61665</v>
      </c>
      <c r="I111" s="1" t="str">
        <f>IFERROR(VLOOKUP(G111,Table1[[Outlets]:[Region]],2,0),"")</f>
        <v>Nyanza</v>
      </c>
      <c r="K111" s="1" t="b">
        <f t="shared" si="3"/>
        <v>0</v>
      </c>
      <c r="L111" s="1" t="str">
        <f>IF(K111=TRUE,ROWS($J$3:J111),"")</f>
        <v/>
      </c>
      <c r="M111" s="1" t="str">
        <f>IFERROR(SMALL($L$3:$L$228,ROWS($L$3:L111)),"")</f>
        <v/>
      </c>
      <c r="N111" s="1" t="str">
        <f>IF(M111&lt;&gt;"",INDEX($G$3:$I$228,MATCH($M111,$L$3:$L$228,0),COLUMNS($L$3:L111)),"")</f>
        <v/>
      </c>
      <c r="O111" s="3" t="str">
        <f>IF(N111&lt;&gt;"",INDEX($G$3:$I$228,MATCH($M111,$L$3:$L$228,0),COLUMNS($L$3:M111)),"")</f>
        <v/>
      </c>
      <c r="P111" s="1" t="str">
        <f>IF(O111&lt;&gt;"",INDEX($G$3:$I$228,MATCH($M111,$L$3:$L$228,0),COLUMNS($L$3:N111)),"")</f>
        <v/>
      </c>
      <c r="S111" s="1" t="b">
        <f t="shared" si="4"/>
        <v>0</v>
      </c>
      <c r="T111" s="1" t="str">
        <f>IF(S111=TRUE,ROWS($S$3:S111),"")</f>
        <v/>
      </c>
      <c r="U111" s="1" t="str">
        <f>IFERROR(SMALL($T$3:$T$228,ROWS($T$3:T111)),"")</f>
        <v/>
      </c>
      <c r="V111" s="1" t="str">
        <f>IF(U111&lt;&gt;"",INDEX($G$3:$I$228,MATCH($U111,$T$3:$T$228,0),COLUMNS($U$3:U111)),"")</f>
        <v/>
      </c>
      <c r="W111" s="1" t="str">
        <f>IF(V111&lt;&gt;"",INDEX($G$3:$I$228,MATCH($U111,$T$3:$T$228,0),COLUMNS($U$3:V111)),"")</f>
        <v/>
      </c>
      <c r="X111" s="1" t="str">
        <f>IF(W111&lt;&gt;"",INDEX($G$3:$I$228,MATCH($U111,$T$3:$T$228,0),COLUMNS($U$3:W111)),"")</f>
        <v/>
      </c>
      <c r="Z111" s="1" t="b">
        <f t="shared" si="5"/>
        <v>1</v>
      </c>
      <c r="AA111" s="1">
        <f>IF(Z111=TRUE,ROWS($Z$3:Z111),"")</f>
        <v>109</v>
      </c>
      <c r="AB111" s="1">
        <f>IFERROR(SMALL($AA$3:$AA$228,ROWS($AA$3:AA111)),"")</f>
        <v>109</v>
      </c>
      <c r="AC111" s="1" t="str">
        <f>IF(AB111&lt;&gt;"",INDEX($G$3:$I$228,MATCH($AB111,$AA$3:$AA$228,0),COLUMNS($AA$3:AA111)),"")</f>
        <v>Carrefour Kisumu Mega Plaza</v>
      </c>
      <c r="AD111" s="1">
        <f>IF(AC111&lt;&gt;"",INDEX($G$3:$I$228,MATCH($AB111,$AA$3:$AA$228,0),COLUMNS($AA$3:AB111)),"")</f>
        <v>61665</v>
      </c>
      <c r="AE111" s="1" t="str">
        <f>IF(AD111&lt;&gt;"",INDEX($G$3:$I$228,MATCH($AB111,$AA$3:$AA$228,0),COLUMNS($AA$3:AC111)),"")</f>
        <v>Nyanza</v>
      </c>
    </row>
    <row r="112" spans="1:31" x14ac:dyDescent="0.2">
      <c r="A112" s="2">
        <v>44749</v>
      </c>
      <c r="B112" s="1" t="s">
        <v>124</v>
      </c>
      <c r="C112" s="1" t="s">
        <v>3</v>
      </c>
      <c r="D112" s="1">
        <v>132767</v>
      </c>
      <c r="E112" s="3">
        <v>16351.3</v>
      </c>
      <c r="F112" s="1" t="s">
        <v>11</v>
      </c>
      <c r="G112" s="1" t="s">
        <v>81</v>
      </c>
      <c r="H112" s="3">
        <f>SUMIFS(Table1[Value],Table1[Outlets],G112)</f>
        <v>61454.95</v>
      </c>
      <c r="I112" s="1" t="str">
        <f>IFERROR(VLOOKUP(G112,Table1[[Outlets]:[Region]],2,0),"")</f>
        <v>Nairobi</v>
      </c>
      <c r="K112" s="1" t="b">
        <f t="shared" si="3"/>
        <v>0</v>
      </c>
      <c r="L112" s="1" t="str">
        <f>IF(K112=TRUE,ROWS($J$3:J112),"")</f>
        <v/>
      </c>
      <c r="M112" s="1" t="str">
        <f>IFERROR(SMALL($L$3:$L$228,ROWS($L$3:L112)),"")</f>
        <v/>
      </c>
      <c r="N112" s="1" t="str">
        <f>IF(M112&lt;&gt;"",INDEX($G$3:$I$228,MATCH($M112,$L$3:$L$228,0),COLUMNS($L$3:L112)),"")</f>
        <v/>
      </c>
      <c r="O112" s="3" t="str">
        <f>IF(N112&lt;&gt;"",INDEX($G$3:$I$228,MATCH($M112,$L$3:$L$228,0),COLUMNS($L$3:M112)),"")</f>
        <v/>
      </c>
      <c r="P112" s="1" t="str">
        <f>IF(O112&lt;&gt;"",INDEX($G$3:$I$228,MATCH($M112,$L$3:$L$228,0),COLUMNS($L$3:N112)),"")</f>
        <v/>
      </c>
      <c r="S112" s="1" t="b">
        <f t="shared" si="4"/>
        <v>0</v>
      </c>
      <c r="T112" s="1" t="str">
        <f>IF(S112=TRUE,ROWS($S$3:S112),"")</f>
        <v/>
      </c>
      <c r="U112" s="1" t="str">
        <f>IFERROR(SMALL($T$3:$T$228,ROWS($T$3:T112)),"")</f>
        <v/>
      </c>
      <c r="V112" s="1" t="str">
        <f>IF(U112&lt;&gt;"",INDEX($G$3:$I$228,MATCH($U112,$T$3:$T$228,0),COLUMNS($U$3:U112)),"")</f>
        <v/>
      </c>
      <c r="W112" s="1" t="str">
        <f>IF(V112&lt;&gt;"",INDEX($G$3:$I$228,MATCH($U112,$T$3:$T$228,0),COLUMNS($U$3:V112)),"")</f>
        <v/>
      </c>
      <c r="X112" s="1" t="str">
        <f>IF(W112&lt;&gt;"",INDEX($G$3:$I$228,MATCH($U112,$T$3:$T$228,0),COLUMNS($U$3:W112)),"")</f>
        <v/>
      </c>
      <c r="Z112" s="1" t="b">
        <f t="shared" si="5"/>
        <v>1</v>
      </c>
      <c r="AA112" s="1">
        <f>IF(Z112=TRUE,ROWS($Z$3:Z112),"")</f>
        <v>110</v>
      </c>
      <c r="AB112" s="1">
        <f>IFERROR(SMALL($AA$3:$AA$228,ROWS($AA$3:AA112)),"")</f>
        <v>110</v>
      </c>
      <c r="AC112" s="1" t="str">
        <f>IF(AB112&lt;&gt;"",INDEX($G$3:$I$228,MATCH($AB112,$AA$3:$AA$228,0),COLUMNS($AA$3:AA112)),"")</f>
        <v>Naivas Mountain Mall</v>
      </c>
      <c r="AD112" s="1">
        <f>IF(AC112&lt;&gt;"",INDEX($G$3:$I$228,MATCH($AB112,$AA$3:$AA$228,0),COLUMNS($AA$3:AB112)),"")</f>
        <v>61454.95</v>
      </c>
      <c r="AE112" s="1" t="str">
        <f>IF(AD112&lt;&gt;"",INDEX($G$3:$I$228,MATCH($AB112,$AA$3:$AA$228,0),COLUMNS($AA$3:AC112)),"")</f>
        <v>Nairobi</v>
      </c>
    </row>
    <row r="113" spans="1:31" x14ac:dyDescent="0.2">
      <c r="A113" s="2">
        <v>44749</v>
      </c>
      <c r="B113" s="1" t="s">
        <v>125</v>
      </c>
      <c r="C113" s="1" t="s">
        <v>3</v>
      </c>
      <c r="D113" s="1">
        <v>132773</v>
      </c>
      <c r="E113" s="3">
        <v>30003.54</v>
      </c>
      <c r="F113" s="1" t="s">
        <v>6</v>
      </c>
      <c r="G113" s="1" t="s">
        <v>115</v>
      </c>
      <c r="H113" s="3">
        <f>SUMIFS(Table1[Value],Table1[Outlets],G113)</f>
        <v>60963.4</v>
      </c>
      <c r="I113" s="1" t="str">
        <f>IFERROR(VLOOKUP(G113,Table1[[Outlets]:[Region]],2,0),"")</f>
        <v>Nairobi</v>
      </c>
      <c r="K113" s="1" t="b">
        <f t="shared" si="3"/>
        <v>0</v>
      </c>
      <c r="L113" s="1" t="str">
        <f>IF(K113=TRUE,ROWS($J$3:J113),"")</f>
        <v/>
      </c>
      <c r="M113" s="1" t="str">
        <f>IFERROR(SMALL($L$3:$L$228,ROWS($L$3:L113)),"")</f>
        <v/>
      </c>
      <c r="N113" s="1" t="str">
        <f>IF(M113&lt;&gt;"",INDEX($G$3:$I$228,MATCH($M113,$L$3:$L$228,0),COLUMNS($L$3:L113)),"")</f>
        <v/>
      </c>
      <c r="O113" s="3" t="str">
        <f>IF(N113&lt;&gt;"",INDEX($G$3:$I$228,MATCH($M113,$L$3:$L$228,0),COLUMNS($L$3:M113)),"")</f>
        <v/>
      </c>
      <c r="P113" s="1" t="str">
        <f>IF(O113&lt;&gt;"",INDEX($G$3:$I$228,MATCH($M113,$L$3:$L$228,0),COLUMNS($L$3:N113)),"")</f>
        <v/>
      </c>
      <c r="S113" s="1" t="b">
        <f t="shared" si="4"/>
        <v>0</v>
      </c>
      <c r="T113" s="1" t="str">
        <f>IF(S113=TRUE,ROWS($S$3:S113),"")</f>
        <v/>
      </c>
      <c r="U113" s="1" t="str">
        <f>IFERROR(SMALL($T$3:$T$228,ROWS($T$3:T113)),"")</f>
        <v/>
      </c>
      <c r="V113" s="1" t="str">
        <f>IF(U113&lt;&gt;"",INDEX($G$3:$I$228,MATCH($U113,$T$3:$T$228,0),COLUMNS($U$3:U113)),"")</f>
        <v/>
      </c>
      <c r="W113" s="1" t="str">
        <f>IF(V113&lt;&gt;"",INDEX($G$3:$I$228,MATCH($U113,$T$3:$T$228,0),COLUMNS($U$3:V113)),"")</f>
        <v/>
      </c>
      <c r="X113" s="1" t="str">
        <f>IF(W113&lt;&gt;"",INDEX($G$3:$I$228,MATCH($U113,$T$3:$T$228,0),COLUMNS($U$3:W113)),"")</f>
        <v/>
      </c>
      <c r="Z113" s="1" t="b">
        <f t="shared" si="5"/>
        <v>1</v>
      </c>
      <c r="AA113" s="1">
        <f>IF(Z113=TRUE,ROWS($Z$3:Z113),"")</f>
        <v>111</v>
      </c>
      <c r="AB113" s="1">
        <f>IFERROR(SMALL($AA$3:$AA$228,ROWS($AA$3:AA113)),"")</f>
        <v>111</v>
      </c>
      <c r="AC113" s="1" t="str">
        <f>IF(AB113&lt;&gt;"",INDEX($G$3:$I$228,MATCH($AB113,$AA$3:$AA$228,0),COLUMNS($AA$3:AA113)),"")</f>
        <v>Naivas Aga Khan</v>
      </c>
      <c r="AD113" s="1">
        <f>IF(AC113&lt;&gt;"",INDEX($G$3:$I$228,MATCH($AB113,$AA$3:$AA$228,0),COLUMNS($AA$3:AB113)),"")</f>
        <v>60963.4</v>
      </c>
      <c r="AE113" s="1" t="str">
        <f>IF(AD113&lt;&gt;"",INDEX($G$3:$I$228,MATCH($AB113,$AA$3:$AA$228,0),COLUMNS($AA$3:AC113)),"")</f>
        <v>Nairobi</v>
      </c>
    </row>
    <row r="114" spans="1:31" x14ac:dyDescent="0.2">
      <c r="A114" s="2">
        <v>44749</v>
      </c>
      <c r="B114" s="1" t="s">
        <v>126</v>
      </c>
      <c r="C114" s="1" t="s">
        <v>3</v>
      </c>
      <c r="D114" s="1">
        <v>132776</v>
      </c>
      <c r="E114" s="3">
        <v>15943.77</v>
      </c>
      <c r="F114" s="1" t="s">
        <v>9</v>
      </c>
      <c r="G114" s="1" t="s">
        <v>60</v>
      </c>
      <c r="H114" s="3">
        <f>SUMIFS(Table1[Value],Table1[Outlets],G114)</f>
        <v>60411.11</v>
      </c>
      <c r="I114" s="1" t="str">
        <f>IFERROR(VLOOKUP(G114,Table1[[Outlets]:[Region]],2,0),"")</f>
        <v>Nairobi</v>
      </c>
      <c r="K114" s="1" t="b">
        <f t="shared" si="3"/>
        <v>1</v>
      </c>
      <c r="L114" s="1">
        <f>IF(K114=TRUE,ROWS($J$3:J114),"")</f>
        <v>112</v>
      </c>
      <c r="M114" s="1" t="str">
        <f>IFERROR(SMALL($L$3:$L$228,ROWS($L$3:L114)),"")</f>
        <v/>
      </c>
      <c r="N114" s="1" t="str">
        <f>IF(M114&lt;&gt;"",INDEX($G$3:$I$228,MATCH($M114,$L$3:$L$228,0),COLUMNS($L$3:L114)),"")</f>
        <v/>
      </c>
      <c r="O114" s="3" t="str">
        <f>IF(N114&lt;&gt;"",INDEX($G$3:$I$228,MATCH($M114,$L$3:$L$228,0),COLUMNS($L$3:M114)),"")</f>
        <v/>
      </c>
      <c r="P114" s="1" t="str">
        <f>IF(O114&lt;&gt;"",INDEX($G$3:$I$228,MATCH($M114,$L$3:$L$228,0),COLUMNS($L$3:N114)),"")</f>
        <v/>
      </c>
      <c r="S114" s="1" t="b">
        <f t="shared" si="4"/>
        <v>0</v>
      </c>
      <c r="T114" s="1" t="str">
        <f>IF(S114=TRUE,ROWS($S$3:S114),"")</f>
        <v/>
      </c>
      <c r="U114" s="1" t="str">
        <f>IFERROR(SMALL($T$3:$T$228,ROWS($T$3:T114)),"")</f>
        <v/>
      </c>
      <c r="V114" s="1" t="str">
        <f>IF(U114&lt;&gt;"",INDEX($G$3:$I$228,MATCH($U114,$T$3:$T$228,0),COLUMNS($U$3:U114)),"")</f>
        <v/>
      </c>
      <c r="W114" s="1" t="str">
        <f>IF(V114&lt;&gt;"",INDEX($G$3:$I$228,MATCH($U114,$T$3:$T$228,0),COLUMNS($U$3:V114)),"")</f>
        <v/>
      </c>
      <c r="X114" s="1" t="str">
        <f>IF(W114&lt;&gt;"",INDEX($G$3:$I$228,MATCH($U114,$T$3:$T$228,0),COLUMNS($U$3:W114)),"")</f>
        <v/>
      </c>
      <c r="Z114" s="1" t="b">
        <f t="shared" si="5"/>
        <v>1</v>
      </c>
      <c r="AA114" s="1">
        <f>IF(Z114=TRUE,ROWS($Z$3:Z114),"")</f>
        <v>112</v>
      </c>
      <c r="AB114" s="1">
        <f>IFERROR(SMALL($AA$3:$AA$228,ROWS($AA$3:AA114)),"")</f>
        <v>112</v>
      </c>
      <c r="AC114" s="1" t="str">
        <f>IF(AB114&lt;&gt;"",INDEX($G$3:$I$228,MATCH($AB114,$AA$3:$AA$228,0),COLUMNS($AA$3:AA114)),"")</f>
        <v>Chandarana Buffalo</v>
      </c>
      <c r="AD114" s="1">
        <f>IF(AC114&lt;&gt;"",INDEX($G$3:$I$228,MATCH($AB114,$AA$3:$AA$228,0),COLUMNS($AA$3:AB114)),"")</f>
        <v>60411.11</v>
      </c>
      <c r="AE114" s="1" t="str">
        <f>IF(AD114&lt;&gt;"",INDEX($G$3:$I$228,MATCH($AB114,$AA$3:$AA$228,0),COLUMNS($AA$3:AC114)),"")</f>
        <v>Nairobi</v>
      </c>
    </row>
    <row r="115" spans="1:31" x14ac:dyDescent="0.2">
      <c r="A115" s="2">
        <v>44749</v>
      </c>
      <c r="B115" s="1" t="s">
        <v>127</v>
      </c>
      <c r="C115" s="1" t="s">
        <v>3</v>
      </c>
      <c r="D115" s="1">
        <v>132777</v>
      </c>
      <c r="E115" s="3">
        <v>8499.14</v>
      </c>
      <c r="F115" s="1" t="s">
        <v>9</v>
      </c>
      <c r="G115" s="1" t="s">
        <v>132</v>
      </c>
      <c r="H115" s="3">
        <f>SUMIFS(Table1[Value],Table1[Outlets],G115)</f>
        <v>60097.749999999993</v>
      </c>
      <c r="I115" s="1" t="str">
        <f>IFERROR(VLOOKUP(G115,Table1[[Outlets]:[Region]],2,0),"")</f>
        <v>Nairobi</v>
      </c>
      <c r="K115" s="1" t="b">
        <f t="shared" si="3"/>
        <v>0</v>
      </c>
      <c r="L115" s="1" t="str">
        <f>IF(K115=TRUE,ROWS($J$3:J115),"")</f>
        <v/>
      </c>
      <c r="M115" s="1" t="str">
        <f>IFERROR(SMALL($L$3:$L$228,ROWS($L$3:L115)),"")</f>
        <v/>
      </c>
      <c r="N115" s="1" t="str">
        <f>IF(M115&lt;&gt;"",INDEX($G$3:$I$228,MATCH($M115,$L$3:$L$228,0),COLUMNS($L$3:L115)),"")</f>
        <v/>
      </c>
      <c r="O115" s="3" t="str">
        <f>IF(N115&lt;&gt;"",INDEX($G$3:$I$228,MATCH($M115,$L$3:$L$228,0),COLUMNS($L$3:M115)),"")</f>
        <v/>
      </c>
      <c r="P115" s="1" t="str">
        <f>IF(O115&lt;&gt;"",INDEX($G$3:$I$228,MATCH($M115,$L$3:$L$228,0),COLUMNS($L$3:N115)),"")</f>
        <v/>
      </c>
      <c r="S115" s="1" t="b">
        <f t="shared" si="4"/>
        <v>0</v>
      </c>
      <c r="T115" s="1" t="str">
        <f>IF(S115=TRUE,ROWS($S$3:S115),"")</f>
        <v/>
      </c>
      <c r="U115" s="1" t="str">
        <f>IFERROR(SMALL($T$3:$T$228,ROWS($T$3:T115)),"")</f>
        <v/>
      </c>
      <c r="V115" s="1" t="str">
        <f>IF(U115&lt;&gt;"",INDEX($G$3:$I$228,MATCH($U115,$T$3:$T$228,0),COLUMNS($U$3:U115)),"")</f>
        <v/>
      </c>
      <c r="W115" s="1" t="str">
        <f>IF(V115&lt;&gt;"",INDEX($G$3:$I$228,MATCH($U115,$T$3:$T$228,0),COLUMNS($U$3:V115)),"")</f>
        <v/>
      </c>
      <c r="X115" s="1" t="str">
        <f>IF(W115&lt;&gt;"",INDEX($G$3:$I$228,MATCH($U115,$T$3:$T$228,0),COLUMNS($U$3:W115)),"")</f>
        <v/>
      </c>
      <c r="Z115" s="1" t="b">
        <f t="shared" si="5"/>
        <v>1</v>
      </c>
      <c r="AA115" s="1">
        <f>IF(Z115=TRUE,ROWS($Z$3:Z115),"")</f>
        <v>113</v>
      </c>
      <c r="AB115" s="1">
        <f>IFERROR(SMALL($AA$3:$AA$228,ROWS($AA$3:AA115)),"")</f>
        <v>113</v>
      </c>
      <c r="AC115" s="1" t="str">
        <f>IF(AB115&lt;&gt;"",INDEX($G$3:$I$228,MATCH($AB115,$AA$3:$AA$228,0),COLUMNS($AA$3:AA115)),"")</f>
        <v>Quickmart Mombasa Rd</v>
      </c>
      <c r="AD115" s="1">
        <f>IF(AC115&lt;&gt;"",INDEX($G$3:$I$228,MATCH($AB115,$AA$3:$AA$228,0),COLUMNS($AA$3:AB115)),"")</f>
        <v>60097.749999999993</v>
      </c>
      <c r="AE115" s="1" t="str">
        <f>IF(AD115&lt;&gt;"",INDEX($G$3:$I$228,MATCH($AB115,$AA$3:$AA$228,0),COLUMNS($AA$3:AC115)),"")</f>
        <v>Nairobi</v>
      </c>
    </row>
    <row r="116" spans="1:31" x14ac:dyDescent="0.2">
      <c r="A116" s="2">
        <v>44749</v>
      </c>
      <c r="B116" s="1" t="s">
        <v>128</v>
      </c>
      <c r="C116" s="1" t="s">
        <v>3</v>
      </c>
      <c r="D116" s="1">
        <v>132778</v>
      </c>
      <c r="E116" s="3">
        <v>25495.86</v>
      </c>
      <c r="F116" s="1" t="s">
        <v>9</v>
      </c>
      <c r="G116" s="1" t="s">
        <v>159</v>
      </c>
      <c r="H116" s="3">
        <f>SUMIFS(Table1[Value],Table1[Outlets],G116)</f>
        <v>59679.15</v>
      </c>
      <c r="I116" s="1" t="str">
        <f>IFERROR(VLOOKUP(G116,Table1[[Outlets]:[Region]],2,0),"")</f>
        <v>Nyanza</v>
      </c>
      <c r="K116" s="1" t="b">
        <f t="shared" si="3"/>
        <v>0</v>
      </c>
      <c r="L116" s="1" t="str">
        <f>IF(K116=TRUE,ROWS($J$3:J116),"")</f>
        <v/>
      </c>
      <c r="M116" s="1" t="str">
        <f>IFERROR(SMALL($L$3:$L$228,ROWS($L$3:L116)),"")</f>
        <v/>
      </c>
      <c r="N116" s="1" t="str">
        <f>IF(M116&lt;&gt;"",INDEX($G$3:$I$228,MATCH($M116,$L$3:$L$228,0),COLUMNS($L$3:L116)),"")</f>
        <v/>
      </c>
      <c r="O116" s="3" t="str">
        <f>IF(N116&lt;&gt;"",INDEX($G$3:$I$228,MATCH($M116,$L$3:$L$228,0),COLUMNS($L$3:M116)),"")</f>
        <v/>
      </c>
      <c r="P116" s="1" t="str">
        <f>IF(O116&lt;&gt;"",INDEX($G$3:$I$228,MATCH($M116,$L$3:$L$228,0),COLUMNS($L$3:N116)),"")</f>
        <v/>
      </c>
      <c r="S116" s="1" t="b">
        <f t="shared" si="4"/>
        <v>0</v>
      </c>
      <c r="T116" s="1" t="str">
        <f>IF(S116=TRUE,ROWS($S$3:S116),"")</f>
        <v/>
      </c>
      <c r="U116" s="1" t="str">
        <f>IFERROR(SMALL($T$3:$T$228,ROWS($T$3:T116)),"")</f>
        <v/>
      </c>
      <c r="V116" s="1" t="str">
        <f>IF(U116&lt;&gt;"",INDEX($G$3:$I$228,MATCH($U116,$T$3:$T$228,0),COLUMNS($U$3:U116)),"")</f>
        <v/>
      </c>
      <c r="W116" s="1" t="str">
        <f>IF(V116&lt;&gt;"",INDEX($G$3:$I$228,MATCH($U116,$T$3:$T$228,0),COLUMNS($U$3:V116)),"")</f>
        <v/>
      </c>
      <c r="X116" s="1" t="str">
        <f>IF(W116&lt;&gt;"",INDEX($G$3:$I$228,MATCH($U116,$T$3:$T$228,0),COLUMNS($U$3:W116)),"")</f>
        <v/>
      </c>
      <c r="Z116" s="1" t="b">
        <f t="shared" si="5"/>
        <v>1</v>
      </c>
      <c r="AA116" s="1">
        <f>IF(Z116=TRUE,ROWS($Z$3:Z116),"")</f>
        <v>114</v>
      </c>
      <c r="AB116" s="1">
        <f>IFERROR(SMALL($AA$3:$AA$228,ROWS($AA$3:AA116)),"")</f>
        <v>114</v>
      </c>
      <c r="AC116" s="1" t="str">
        <f>IF(AB116&lt;&gt;"",INDEX($G$3:$I$228,MATCH($AB116,$AA$3:$AA$228,0),COLUMNS($AA$3:AA116)),"")</f>
        <v>Naivas Kisumu Simba</v>
      </c>
      <c r="AD116" s="1">
        <f>IF(AC116&lt;&gt;"",INDEX($G$3:$I$228,MATCH($AB116,$AA$3:$AA$228,0),COLUMNS($AA$3:AB116)),"")</f>
        <v>59679.15</v>
      </c>
      <c r="AE116" s="1" t="str">
        <f>IF(AD116&lt;&gt;"",INDEX($G$3:$I$228,MATCH($AB116,$AA$3:$AA$228,0),COLUMNS($AA$3:AC116)),"")</f>
        <v>Nyanza</v>
      </c>
    </row>
    <row r="117" spans="1:31" x14ac:dyDescent="0.2">
      <c r="A117" s="2">
        <v>44749</v>
      </c>
      <c r="B117" s="1" t="s">
        <v>129</v>
      </c>
      <c r="C117" s="1" t="s">
        <v>3</v>
      </c>
      <c r="D117" s="1">
        <v>132779</v>
      </c>
      <c r="E117" s="3">
        <v>10268.790000000001</v>
      </c>
      <c r="F117" s="1" t="s">
        <v>9</v>
      </c>
      <c r="G117" s="1" t="s">
        <v>40</v>
      </c>
      <c r="H117" s="3">
        <f>SUMIFS(Table1[Value],Table1[Outlets],G117)</f>
        <v>59490.53</v>
      </c>
      <c r="I117" s="1" t="str">
        <f>IFERROR(VLOOKUP(G117,Table1[[Outlets]:[Region]],2,0),"")</f>
        <v>Nairobi</v>
      </c>
      <c r="K117" s="1" t="b">
        <f t="shared" si="3"/>
        <v>0</v>
      </c>
      <c r="L117" s="1" t="str">
        <f>IF(K117=TRUE,ROWS($J$3:J117),"")</f>
        <v/>
      </c>
      <c r="M117" s="1" t="str">
        <f>IFERROR(SMALL($L$3:$L$228,ROWS($L$3:L117)),"")</f>
        <v/>
      </c>
      <c r="N117" s="1" t="str">
        <f>IF(M117&lt;&gt;"",INDEX($G$3:$I$228,MATCH($M117,$L$3:$L$228,0),COLUMNS($L$3:L117)),"")</f>
        <v/>
      </c>
      <c r="O117" s="3" t="str">
        <f>IF(N117&lt;&gt;"",INDEX($G$3:$I$228,MATCH($M117,$L$3:$L$228,0),COLUMNS($L$3:M117)),"")</f>
        <v/>
      </c>
      <c r="P117" s="1" t="str">
        <f>IF(O117&lt;&gt;"",INDEX($G$3:$I$228,MATCH($M117,$L$3:$L$228,0),COLUMNS($L$3:N117)),"")</f>
        <v/>
      </c>
      <c r="S117" s="1" t="b">
        <f t="shared" si="4"/>
        <v>0</v>
      </c>
      <c r="T117" s="1" t="str">
        <f>IF(S117=TRUE,ROWS($S$3:S117),"")</f>
        <v/>
      </c>
      <c r="U117" s="1" t="str">
        <f>IFERROR(SMALL($T$3:$T$228,ROWS($T$3:T117)),"")</f>
        <v/>
      </c>
      <c r="V117" s="1" t="str">
        <f>IF(U117&lt;&gt;"",INDEX($G$3:$I$228,MATCH($U117,$T$3:$T$228,0),COLUMNS($U$3:U117)),"")</f>
        <v/>
      </c>
      <c r="W117" s="1" t="str">
        <f>IF(V117&lt;&gt;"",INDEX($G$3:$I$228,MATCH($U117,$T$3:$T$228,0),COLUMNS($U$3:V117)),"")</f>
        <v/>
      </c>
      <c r="X117" s="1" t="str">
        <f>IF(W117&lt;&gt;"",INDEX($G$3:$I$228,MATCH($U117,$T$3:$T$228,0),COLUMNS($U$3:W117)),"")</f>
        <v/>
      </c>
      <c r="Z117" s="1" t="b">
        <f t="shared" si="5"/>
        <v>1</v>
      </c>
      <c r="AA117" s="1">
        <f>IF(Z117=TRUE,ROWS($Z$3:Z117),"")</f>
        <v>115</v>
      </c>
      <c r="AB117" s="1">
        <f>IFERROR(SMALL($AA$3:$AA$228,ROWS($AA$3:AA117)),"")</f>
        <v>115</v>
      </c>
      <c r="AC117" s="1" t="str">
        <f>IF(AB117&lt;&gt;"",INDEX($G$3:$I$228,MATCH($AB117,$AA$3:$AA$228,0),COLUMNS($AA$3:AA117)),"")</f>
        <v>Naivas Mountain View</v>
      </c>
      <c r="AD117" s="1">
        <f>IF(AC117&lt;&gt;"",INDEX($G$3:$I$228,MATCH($AB117,$AA$3:$AA$228,0),COLUMNS($AA$3:AB117)),"")</f>
        <v>59490.53</v>
      </c>
      <c r="AE117" s="1" t="str">
        <f>IF(AD117&lt;&gt;"",INDEX($G$3:$I$228,MATCH($AB117,$AA$3:$AA$228,0),COLUMNS($AA$3:AC117)),"")</f>
        <v>Nairobi</v>
      </c>
    </row>
    <row r="118" spans="1:31" x14ac:dyDescent="0.2">
      <c r="A118" s="2">
        <v>44749</v>
      </c>
      <c r="B118" s="1" t="s">
        <v>130</v>
      </c>
      <c r="C118" s="1" t="s">
        <v>3</v>
      </c>
      <c r="D118" s="1">
        <v>132780</v>
      </c>
      <c r="E118" s="3">
        <v>34662.93</v>
      </c>
      <c r="F118" s="1" t="s">
        <v>9</v>
      </c>
      <c r="G118" s="1" t="s">
        <v>91</v>
      </c>
      <c r="H118" s="3">
        <f>SUMIFS(Table1[Value],Table1[Outlets],G118)</f>
        <v>58771.58</v>
      </c>
      <c r="I118" s="1" t="str">
        <f>IFERROR(VLOOKUP(G118,Table1[[Outlets]:[Region]],2,0),"")</f>
        <v>Nairobi</v>
      </c>
      <c r="K118" s="1" t="b">
        <f t="shared" si="3"/>
        <v>0</v>
      </c>
      <c r="L118" s="1" t="str">
        <f>IF(K118=TRUE,ROWS($J$3:J118),"")</f>
        <v/>
      </c>
      <c r="M118" s="1" t="str">
        <f>IFERROR(SMALL($L$3:$L$228,ROWS($L$3:L118)),"")</f>
        <v/>
      </c>
      <c r="N118" s="1" t="str">
        <f>IF(M118&lt;&gt;"",INDEX($G$3:$I$228,MATCH($M118,$L$3:$L$228,0),COLUMNS($L$3:L118)),"")</f>
        <v/>
      </c>
      <c r="O118" s="3" t="str">
        <f>IF(N118&lt;&gt;"",INDEX($G$3:$I$228,MATCH($M118,$L$3:$L$228,0),COLUMNS($L$3:M118)),"")</f>
        <v/>
      </c>
      <c r="P118" s="1" t="str">
        <f>IF(O118&lt;&gt;"",INDEX($G$3:$I$228,MATCH($M118,$L$3:$L$228,0),COLUMNS($L$3:N118)),"")</f>
        <v/>
      </c>
      <c r="S118" s="1" t="b">
        <f t="shared" si="4"/>
        <v>0</v>
      </c>
      <c r="T118" s="1" t="str">
        <f>IF(S118=TRUE,ROWS($S$3:S118),"")</f>
        <v/>
      </c>
      <c r="U118" s="1" t="str">
        <f>IFERROR(SMALL($T$3:$T$228,ROWS($T$3:T118)),"")</f>
        <v/>
      </c>
      <c r="V118" s="1" t="str">
        <f>IF(U118&lt;&gt;"",INDEX($G$3:$I$228,MATCH($U118,$T$3:$T$228,0),COLUMNS($U$3:U118)),"")</f>
        <v/>
      </c>
      <c r="W118" s="1" t="str">
        <f>IF(V118&lt;&gt;"",INDEX($G$3:$I$228,MATCH($U118,$T$3:$T$228,0),COLUMNS($U$3:V118)),"")</f>
        <v/>
      </c>
      <c r="X118" s="1" t="str">
        <f>IF(W118&lt;&gt;"",INDEX($G$3:$I$228,MATCH($U118,$T$3:$T$228,0),COLUMNS($U$3:W118)),"")</f>
        <v/>
      </c>
      <c r="Z118" s="1" t="b">
        <f t="shared" si="5"/>
        <v>1</v>
      </c>
      <c r="AA118" s="1">
        <f>IF(Z118=TRUE,ROWS($Z$3:Z118),"")</f>
        <v>116</v>
      </c>
      <c r="AB118" s="1">
        <f>IFERROR(SMALL($AA$3:$AA$228,ROWS($AA$3:AA118)),"")</f>
        <v>116</v>
      </c>
      <c r="AC118" s="1" t="str">
        <f>IF(AB118&lt;&gt;"",INDEX($G$3:$I$228,MATCH($AB118,$AA$3:$AA$228,0),COLUMNS($AA$3:AA118)),"")</f>
        <v>Naivas Buruburu</v>
      </c>
      <c r="AD118" s="1">
        <f>IF(AC118&lt;&gt;"",INDEX($G$3:$I$228,MATCH($AB118,$AA$3:$AA$228,0),COLUMNS($AA$3:AB118)),"")</f>
        <v>58771.58</v>
      </c>
      <c r="AE118" s="1" t="str">
        <f>IF(AD118&lt;&gt;"",INDEX($G$3:$I$228,MATCH($AB118,$AA$3:$AA$228,0),COLUMNS($AA$3:AC118)),"")</f>
        <v>Nairobi</v>
      </c>
    </row>
    <row r="119" spans="1:31" x14ac:dyDescent="0.2">
      <c r="A119" s="2">
        <v>44749</v>
      </c>
      <c r="B119" s="1" t="s">
        <v>126</v>
      </c>
      <c r="C119" s="1" t="s">
        <v>3</v>
      </c>
      <c r="D119" s="1">
        <v>132782</v>
      </c>
      <c r="E119" s="3">
        <v>14929.98</v>
      </c>
      <c r="F119" s="1" t="s">
        <v>9</v>
      </c>
      <c r="G119" s="1" t="s">
        <v>46</v>
      </c>
      <c r="H119" s="3">
        <f>SUMIFS(Table1[Value],Table1[Outlets],G119)</f>
        <v>57639.909999999996</v>
      </c>
      <c r="I119" s="1" t="str">
        <f>IFERROR(VLOOKUP(G119,Table1[[Outlets]:[Region]],2,0),"")</f>
        <v>Nairobi</v>
      </c>
      <c r="K119" s="1" t="b">
        <f t="shared" si="3"/>
        <v>0</v>
      </c>
      <c r="L119" s="1" t="str">
        <f>IF(K119=TRUE,ROWS($J$3:J119),"")</f>
        <v/>
      </c>
      <c r="M119" s="1" t="str">
        <f>IFERROR(SMALL($L$3:$L$228,ROWS($L$3:L119)),"")</f>
        <v/>
      </c>
      <c r="N119" s="1" t="str">
        <f>IF(M119&lt;&gt;"",INDEX($G$3:$I$228,MATCH($M119,$L$3:$L$228,0),COLUMNS($L$3:L119)),"")</f>
        <v/>
      </c>
      <c r="O119" s="3" t="str">
        <f>IF(N119&lt;&gt;"",INDEX($G$3:$I$228,MATCH($M119,$L$3:$L$228,0),COLUMNS($L$3:M119)),"")</f>
        <v/>
      </c>
      <c r="P119" s="1" t="str">
        <f>IF(O119&lt;&gt;"",INDEX($G$3:$I$228,MATCH($M119,$L$3:$L$228,0),COLUMNS($L$3:N119)),"")</f>
        <v/>
      </c>
      <c r="S119" s="1" t="b">
        <f t="shared" si="4"/>
        <v>0</v>
      </c>
      <c r="T119" s="1" t="str">
        <f>IF(S119=TRUE,ROWS($S$3:S119),"")</f>
        <v/>
      </c>
      <c r="U119" s="1" t="str">
        <f>IFERROR(SMALL($T$3:$T$228,ROWS($T$3:T119)),"")</f>
        <v/>
      </c>
      <c r="V119" s="1" t="str">
        <f>IF(U119&lt;&gt;"",INDEX($G$3:$I$228,MATCH($U119,$T$3:$T$228,0),COLUMNS($U$3:U119)),"")</f>
        <v/>
      </c>
      <c r="W119" s="1" t="str">
        <f>IF(V119&lt;&gt;"",INDEX($G$3:$I$228,MATCH($U119,$T$3:$T$228,0),COLUMNS($U$3:V119)),"")</f>
        <v/>
      </c>
      <c r="X119" s="1" t="str">
        <f>IF(W119&lt;&gt;"",INDEX($G$3:$I$228,MATCH($U119,$T$3:$T$228,0),COLUMNS($U$3:W119)),"")</f>
        <v/>
      </c>
      <c r="Z119" s="1" t="b">
        <f t="shared" si="5"/>
        <v>1</v>
      </c>
      <c r="AA119" s="1">
        <f>IF(Z119=TRUE,ROWS($Z$3:Z119),"")</f>
        <v>117</v>
      </c>
      <c r="AB119" s="1">
        <f>IFERROR(SMALL($AA$3:$AA$228,ROWS($AA$3:AA119)),"")</f>
        <v>117</v>
      </c>
      <c r="AC119" s="1" t="str">
        <f>IF(AB119&lt;&gt;"",INDEX($G$3:$I$228,MATCH($AB119,$AA$3:$AA$228,0),COLUMNS($AA$3:AA119)),"")</f>
        <v>Quickmart Milele</v>
      </c>
      <c r="AD119" s="1">
        <f>IF(AC119&lt;&gt;"",INDEX($G$3:$I$228,MATCH($AB119,$AA$3:$AA$228,0),COLUMNS($AA$3:AB119)),"")</f>
        <v>57639.909999999996</v>
      </c>
      <c r="AE119" s="1" t="str">
        <f>IF(AD119&lt;&gt;"",INDEX($G$3:$I$228,MATCH($AB119,$AA$3:$AA$228,0),COLUMNS($AA$3:AC119)),"")</f>
        <v>Nairobi</v>
      </c>
    </row>
    <row r="120" spans="1:31" x14ac:dyDescent="0.2">
      <c r="A120" s="2">
        <v>44749</v>
      </c>
      <c r="B120" s="1" t="s">
        <v>131</v>
      </c>
      <c r="C120" s="1" t="s">
        <v>3</v>
      </c>
      <c r="D120" s="1">
        <v>132784</v>
      </c>
      <c r="E120" s="3">
        <v>20508.77</v>
      </c>
      <c r="F120" s="1" t="s">
        <v>6</v>
      </c>
      <c r="G120" s="1" t="s">
        <v>149</v>
      </c>
      <c r="H120" s="3">
        <f>SUMIFS(Table1[Value],Table1[Outlets],G120)</f>
        <v>55616.1</v>
      </c>
      <c r="I120" s="1" t="str">
        <f>IFERROR(VLOOKUP(G120,Table1[[Outlets]:[Region]],2,0),"")</f>
        <v>Nairobi</v>
      </c>
      <c r="K120" s="1" t="b">
        <f t="shared" si="3"/>
        <v>0</v>
      </c>
      <c r="L120" s="1" t="str">
        <f>IF(K120=TRUE,ROWS($J$3:J120),"")</f>
        <v/>
      </c>
      <c r="M120" s="1" t="str">
        <f>IFERROR(SMALL($L$3:$L$228,ROWS($L$3:L120)),"")</f>
        <v/>
      </c>
      <c r="N120" s="1" t="str">
        <f>IF(M120&lt;&gt;"",INDEX($G$3:$I$228,MATCH($M120,$L$3:$L$228,0),COLUMNS($L$3:L120)),"")</f>
        <v/>
      </c>
      <c r="O120" s="3" t="str">
        <f>IF(N120&lt;&gt;"",INDEX($G$3:$I$228,MATCH($M120,$L$3:$L$228,0),COLUMNS($L$3:M120)),"")</f>
        <v/>
      </c>
      <c r="P120" s="1" t="str">
        <f>IF(O120&lt;&gt;"",INDEX($G$3:$I$228,MATCH($M120,$L$3:$L$228,0),COLUMNS($L$3:N120)),"")</f>
        <v/>
      </c>
      <c r="S120" s="1" t="b">
        <f t="shared" si="4"/>
        <v>0</v>
      </c>
      <c r="T120" s="1" t="str">
        <f>IF(S120=TRUE,ROWS($S$3:S120),"")</f>
        <v/>
      </c>
      <c r="U120" s="1" t="str">
        <f>IFERROR(SMALL($T$3:$T$228,ROWS($T$3:T120)),"")</f>
        <v/>
      </c>
      <c r="V120" s="1" t="str">
        <f>IF(U120&lt;&gt;"",INDEX($G$3:$I$228,MATCH($U120,$T$3:$T$228,0),COLUMNS($U$3:U120)),"")</f>
        <v/>
      </c>
      <c r="W120" s="1" t="str">
        <f>IF(V120&lt;&gt;"",INDEX($G$3:$I$228,MATCH($U120,$T$3:$T$228,0),COLUMNS($U$3:V120)),"")</f>
        <v/>
      </c>
      <c r="X120" s="1" t="str">
        <f>IF(W120&lt;&gt;"",INDEX($G$3:$I$228,MATCH($U120,$T$3:$T$228,0),COLUMNS($U$3:W120)),"")</f>
        <v/>
      </c>
      <c r="Z120" s="1" t="b">
        <f t="shared" si="5"/>
        <v>1</v>
      </c>
      <c r="AA120" s="1">
        <f>IF(Z120=TRUE,ROWS($Z$3:Z120),"")</f>
        <v>118</v>
      </c>
      <c r="AB120" s="1">
        <f>IFERROR(SMALL($AA$3:$AA$228,ROWS($AA$3:AA120)),"")</f>
        <v>118</v>
      </c>
      <c r="AC120" s="1" t="str">
        <f>IF(AB120&lt;&gt;"",INDEX($G$3:$I$228,MATCH($AB120,$AA$3:$AA$228,0),COLUMNS($AA$3:AA120)),"")</f>
        <v>Naivas Bungoma</v>
      </c>
      <c r="AD120" s="1">
        <f>IF(AC120&lt;&gt;"",INDEX($G$3:$I$228,MATCH($AB120,$AA$3:$AA$228,0),COLUMNS($AA$3:AB120)),"")</f>
        <v>55616.1</v>
      </c>
      <c r="AE120" s="1" t="str">
        <f>IF(AD120&lt;&gt;"",INDEX($G$3:$I$228,MATCH($AB120,$AA$3:$AA$228,0),COLUMNS($AA$3:AC120)),"")</f>
        <v>Nairobi</v>
      </c>
    </row>
    <row r="121" spans="1:31" x14ac:dyDescent="0.2">
      <c r="A121" s="2">
        <v>44749</v>
      </c>
      <c r="B121" s="1" t="s">
        <v>132</v>
      </c>
      <c r="C121" s="1" t="s">
        <v>3</v>
      </c>
      <c r="D121" s="1">
        <v>132785</v>
      </c>
      <c r="E121" s="3">
        <v>23615.42</v>
      </c>
      <c r="F121" s="1" t="s">
        <v>9</v>
      </c>
      <c r="G121" s="1" t="s">
        <v>220</v>
      </c>
      <c r="H121" s="3">
        <f>SUMIFS(Table1[Value],Table1[Outlets],G121)</f>
        <v>53081.9</v>
      </c>
      <c r="I121" s="1" t="str">
        <f>IFERROR(VLOOKUP(G121,Table1[[Outlets]:[Region]],2,0),"")</f>
        <v>Nairobi</v>
      </c>
      <c r="K121" s="1" t="b">
        <f t="shared" si="3"/>
        <v>0</v>
      </c>
      <c r="L121" s="1" t="str">
        <f>IF(K121=TRUE,ROWS($J$3:J121),"")</f>
        <v/>
      </c>
      <c r="M121" s="1" t="str">
        <f>IFERROR(SMALL($L$3:$L$228,ROWS($L$3:L121)),"")</f>
        <v/>
      </c>
      <c r="N121" s="1" t="str">
        <f>IF(M121&lt;&gt;"",INDEX($G$3:$I$228,MATCH($M121,$L$3:$L$228,0),COLUMNS($L$3:L121)),"")</f>
        <v/>
      </c>
      <c r="O121" s="3" t="str">
        <f>IF(N121&lt;&gt;"",INDEX($G$3:$I$228,MATCH($M121,$L$3:$L$228,0),COLUMNS($L$3:M121)),"")</f>
        <v/>
      </c>
      <c r="P121" s="1" t="str">
        <f>IF(O121&lt;&gt;"",INDEX($G$3:$I$228,MATCH($M121,$L$3:$L$228,0),COLUMNS($L$3:N121)),"")</f>
        <v/>
      </c>
      <c r="S121" s="1" t="b">
        <f t="shared" si="4"/>
        <v>0</v>
      </c>
      <c r="T121" s="1" t="str">
        <f>IF(S121=TRUE,ROWS($S$3:S121),"")</f>
        <v/>
      </c>
      <c r="U121" s="1" t="str">
        <f>IFERROR(SMALL($T$3:$T$228,ROWS($T$3:T121)),"")</f>
        <v/>
      </c>
      <c r="V121" s="1" t="str">
        <f>IF(U121&lt;&gt;"",INDEX($G$3:$I$228,MATCH($U121,$T$3:$T$228,0),COLUMNS($U$3:U121)),"")</f>
        <v/>
      </c>
      <c r="W121" s="1" t="str">
        <f>IF(V121&lt;&gt;"",INDEX($G$3:$I$228,MATCH($U121,$T$3:$T$228,0),COLUMNS($U$3:V121)),"")</f>
        <v/>
      </c>
      <c r="X121" s="1" t="str">
        <f>IF(W121&lt;&gt;"",INDEX($G$3:$I$228,MATCH($U121,$T$3:$T$228,0),COLUMNS($U$3:W121)),"")</f>
        <v/>
      </c>
      <c r="Z121" s="1" t="b">
        <f t="shared" si="5"/>
        <v>1</v>
      </c>
      <c r="AA121" s="1">
        <f>IF(Z121=TRUE,ROWS($Z$3:Z121),"")</f>
        <v>119</v>
      </c>
      <c r="AB121" s="1">
        <f>IFERROR(SMALL($AA$3:$AA$228,ROWS($AA$3:AA121)),"")</f>
        <v>119</v>
      </c>
      <c r="AC121" s="1" t="str">
        <f>IF(AB121&lt;&gt;"",INDEX($G$3:$I$228,MATCH($AB121,$AA$3:$AA$228,0),COLUMNS($AA$3:AA121)),"")</f>
        <v>Naivas Riruta</v>
      </c>
      <c r="AD121" s="1">
        <f>IF(AC121&lt;&gt;"",INDEX($G$3:$I$228,MATCH($AB121,$AA$3:$AA$228,0),COLUMNS($AA$3:AB121)),"")</f>
        <v>53081.9</v>
      </c>
      <c r="AE121" s="1" t="str">
        <f>IF(AD121&lt;&gt;"",INDEX($G$3:$I$228,MATCH($AB121,$AA$3:$AA$228,0),COLUMNS($AA$3:AC121)),"")</f>
        <v>Nairobi</v>
      </c>
    </row>
    <row r="122" spans="1:31" x14ac:dyDescent="0.2">
      <c r="A122" s="2">
        <v>44749</v>
      </c>
      <c r="B122" s="1" t="s">
        <v>133</v>
      </c>
      <c r="C122" s="1" t="s">
        <v>3</v>
      </c>
      <c r="D122" s="1">
        <v>132786</v>
      </c>
      <c r="E122" s="3">
        <v>33570.959999999999</v>
      </c>
      <c r="F122" s="1" t="s">
        <v>9</v>
      </c>
      <c r="G122" s="1" t="s">
        <v>161</v>
      </c>
      <c r="H122" s="3">
        <f>SUMIFS(Table1[Value],Table1[Outlets],G122)</f>
        <v>53050.86</v>
      </c>
      <c r="I122" s="1" t="str">
        <f>IFERROR(VLOOKUP(G122,Table1[[Outlets]:[Region]],2,0),"")</f>
        <v>Nairobi</v>
      </c>
      <c r="K122" s="1" t="b">
        <f t="shared" si="3"/>
        <v>0</v>
      </c>
      <c r="L122" s="1" t="str">
        <f>IF(K122=TRUE,ROWS($J$3:J122),"")</f>
        <v/>
      </c>
      <c r="M122" s="1" t="str">
        <f>IFERROR(SMALL($L$3:$L$228,ROWS($L$3:L122)),"")</f>
        <v/>
      </c>
      <c r="N122" s="1" t="str">
        <f>IF(M122&lt;&gt;"",INDEX($G$3:$I$228,MATCH($M122,$L$3:$L$228,0),COLUMNS($L$3:L122)),"")</f>
        <v/>
      </c>
      <c r="O122" s="3" t="str">
        <f>IF(N122&lt;&gt;"",INDEX($G$3:$I$228,MATCH($M122,$L$3:$L$228,0),COLUMNS($L$3:M122)),"")</f>
        <v/>
      </c>
      <c r="P122" s="1" t="str">
        <f>IF(O122&lt;&gt;"",INDEX($G$3:$I$228,MATCH($M122,$L$3:$L$228,0),COLUMNS($L$3:N122)),"")</f>
        <v/>
      </c>
      <c r="S122" s="1" t="b">
        <f t="shared" si="4"/>
        <v>0</v>
      </c>
      <c r="T122" s="1" t="str">
        <f>IF(S122=TRUE,ROWS($S$3:S122),"")</f>
        <v/>
      </c>
      <c r="U122" s="1" t="str">
        <f>IFERROR(SMALL($T$3:$T$228,ROWS($T$3:T122)),"")</f>
        <v/>
      </c>
      <c r="V122" s="1" t="str">
        <f>IF(U122&lt;&gt;"",INDEX($G$3:$I$228,MATCH($U122,$T$3:$T$228,0),COLUMNS($U$3:U122)),"")</f>
        <v/>
      </c>
      <c r="W122" s="1" t="str">
        <f>IF(V122&lt;&gt;"",INDEX($G$3:$I$228,MATCH($U122,$T$3:$T$228,0),COLUMNS($U$3:V122)),"")</f>
        <v/>
      </c>
      <c r="X122" s="1" t="str">
        <f>IF(W122&lt;&gt;"",INDEX($G$3:$I$228,MATCH($U122,$T$3:$T$228,0),COLUMNS($U$3:W122)),"")</f>
        <v/>
      </c>
      <c r="Z122" s="1" t="b">
        <f t="shared" si="5"/>
        <v>1</v>
      </c>
      <c r="AA122" s="1">
        <f>IF(Z122=TRUE,ROWS($Z$3:Z122),"")</f>
        <v>120</v>
      </c>
      <c r="AB122" s="1">
        <f>IFERROR(SMALL($AA$3:$AA$228,ROWS($AA$3:AA122)),"")</f>
        <v>120</v>
      </c>
      <c r="AC122" s="1" t="str">
        <f>IF(AB122&lt;&gt;"",INDEX($G$3:$I$228,MATCH($AB122,$AA$3:$AA$228,0),COLUMNS($AA$3:AA122)),"")</f>
        <v>Naivas Lifestyle</v>
      </c>
      <c r="AD122" s="1">
        <f>IF(AC122&lt;&gt;"",INDEX($G$3:$I$228,MATCH($AB122,$AA$3:$AA$228,0),COLUMNS($AA$3:AB122)),"")</f>
        <v>53050.86</v>
      </c>
      <c r="AE122" s="1" t="str">
        <f>IF(AD122&lt;&gt;"",INDEX($G$3:$I$228,MATCH($AB122,$AA$3:$AA$228,0),COLUMNS($AA$3:AC122)),"")</f>
        <v>Nairobi</v>
      </c>
    </row>
    <row r="123" spans="1:31" x14ac:dyDescent="0.2">
      <c r="A123" s="2">
        <v>44749</v>
      </c>
      <c r="B123" s="1" t="s">
        <v>131</v>
      </c>
      <c r="C123" s="1" t="s">
        <v>3</v>
      </c>
      <c r="D123" s="1">
        <v>132788</v>
      </c>
      <c r="E123" s="3">
        <v>22671.48</v>
      </c>
      <c r="F123" s="1" t="s">
        <v>6</v>
      </c>
      <c r="G123" s="1" t="s">
        <v>94</v>
      </c>
      <c r="H123" s="3">
        <f>SUMIFS(Table1[Value],Table1[Outlets],G123)</f>
        <v>52261.260000000009</v>
      </c>
      <c r="I123" s="1" t="str">
        <f>IFERROR(VLOOKUP(G123,Table1[[Outlets]:[Region]],2,0),"")</f>
        <v>Nairobi</v>
      </c>
      <c r="K123" s="1" t="b">
        <f t="shared" si="3"/>
        <v>0</v>
      </c>
      <c r="L123" s="1" t="str">
        <f>IF(K123=TRUE,ROWS($J$3:J123),"")</f>
        <v/>
      </c>
      <c r="M123" s="1" t="str">
        <f>IFERROR(SMALL($L$3:$L$228,ROWS($L$3:L123)),"")</f>
        <v/>
      </c>
      <c r="N123" s="1" t="str">
        <f>IF(M123&lt;&gt;"",INDEX($G$3:$I$228,MATCH($M123,$L$3:$L$228,0),COLUMNS($L$3:L123)),"")</f>
        <v/>
      </c>
      <c r="O123" s="3" t="str">
        <f>IF(N123&lt;&gt;"",INDEX($G$3:$I$228,MATCH($M123,$L$3:$L$228,0),COLUMNS($L$3:M123)),"")</f>
        <v/>
      </c>
      <c r="P123" s="1" t="str">
        <f>IF(O123&lt;&gt;"",INDEX($G$3:$I$228,MATCH($M123,$L$3:$L$228,0),COLUMNS($L$3:N123)),"")</f>
        <v/>
      </c>
      <c r="S123" s="1" t="b">
        <f t="shared" si="4"/>
        <v>0</v>
      </c>
      <c r="T123" s="1" t="str">
        <f>IF(S123=TRUE,ROWS($S$3:S123),"")</f>
        <v/>
      </c>
      <c r="U123" s="1" t="str">
        <f>IFERROR(SMALL($T$3:$T$228,ROWS($T$3:T123)),"")</f>
        <v/>
      </c>
      <c r="V123" s="1" t="str">
        <f>IF(U123&lt;&gt;"",INDEX($G$3:$I$228,MATCH($U123,$T$3:$T$228,0),COLUMNS($U$3:U123)),"")</f>
        <v/>
      </c>
      <c r="W123" s="1" t="str">
        <f>IF(V123&lt;&gt;"",INDEX($G$3:$I$228,MATCH($U123,$T$3:$T$228,0),COLUMNS($U$3:V123)),"")</f>
        <v/>
      </c>
      <c r="X123" s="1" t="str">
        <f>IF(W123&lt;&gt;"",INDEX($G$3:$I$228,MATCH($U123,$T$3:$T$228,0),COLUMNS($U$3:W123)),"")</f>
        <v/>
      </c>
      <c r="Z123" s="1" t="b">
        <f t="shared" si="5"/>
        <v>1</v>
      </c>
      <c r="AA123" s="1">
        <f>IF(Z123=TRUE,ROWS($Z$3:Z123),"")</f>
        <v>121</v>
      </c>
      <c r="AB123" s="1">
        <f>IFERROR(SMALL($AA$3:$AA$228,ROWS($AA$3:AA123)),"")</f>
        <v>121</v>
      </c>
      <c r="AC123" s="1" t="str">
        <f>IF(AB123&lt;&gt;"",INDEX($G$3:$I$228,MATCH($AB123,$AA$3:$AA$228,0),COLUMNS($AA$3:AA123)),"")</f>
        <v>Quickmart Donholm</v>
      </c>
      <c r="AD123" s="1">
        <f>IF(AC123&lt;&gt;"",INDEX($G$3:$I$228,MATCH($AB123,$AA$3:$AA$228,0),COLUMNS($AA$3:AB123)),"")</f>
        <v>52261.260000000009</v>
      </c>
      <c r="AE123" s="1" t="str">
        <f>IF(AD123&lt;&gt;"",INDEX($G$3:$I$228,MATCH($AB123,$AA$3:$AA$228,0),COLUMNS($AA$3:AC123)),"")</f>
        <v>Nairobi</v>
      </c>
    </row>
    <row r="124" spans="1:31" x14ac:dyDescent="0.2">
      <c r="A124" s="2">
        <v>44749</v>
      </c>
      <c r="B124" s="1" t="s">
        <v>134</v>
      </c>
      <c r="C124" s="1" t="s">
        <v>3</v>
      </c>
      <c r="D124" s="1">
        <v>132796</v>
      </c>
      <c r="E124" s="3">
        <v>36422.69</v>
      </c>
      <c r="F124" s="1" t="s">
        <v>9</v>
      </c>
      <c r="G124" s="1" t="s">
        <v>135</v>
      </c>
      <c r="H124" s="3">
        <f>SUMIFS(Table1[Value],Table1[Outlets],G124)</f>
        <v>51443.520000000004</v>
      </c>
      <c r="I124" s="1" t="str">
        <f>IFERROR(VLOOKUP(G124,Table1[[Outlets]:[Region]],2,0),"")</f>
        <v>Nairobi</v>
      </c>
      <c r="K124" s="1" t="b">
        <f t="shared" si="3"/>
        <v>0</v>
      </c>
      <c r="L124" s="1" t="str">
        <f>IF(K124=TRUE,ROWS($J$3:J124),"")</f>
        <v/>
      </c>
      <c r="M124" s="1" t="str">
        <f>IFERROR(SMALL($L$3:$L$228,ROWS($L$3:L124)),"")</f>
        <v/>
      </c>
      <c r="N124" s="1" t="str">
        <f>IF(M124&lt;&gt;"",INDEX($G$3:$I$228,MATCH($M124,$L$3:$L$228,0),COLUMNS($L$3:L124)),"")</f>
        <v/>
      </c>
      <c r="O124" s="3" t="str">
        <f>IF(N124&lt;&gt;"",INDEX($G$3:$I$228,MATCH($M124,$L$3:$L$228,0),COLUMNS($L$3:M124)),"")</f>
        <v/>
      </c>
      <c r="P124" s="1" t="str">
        <f>IF(O124&lt;&gt;"",INDEX($G$3:$I$228,MATCH($M124,$L$3:$L$228,0),COLUMNS($L$3:N124)),"")</f>
        <v/>
      </c>
      <c r="S124" s="1" t="b">
        <f t="shared" si="4"/>
        <v>0</v>
      </c>
      <c r="T124" s="1" t="str">
        <f>IF(S124=TRUE,ROWS($S$3:S124),"")</f>
        <v/>
      </c>
      <c r="U124" s="1" t="str">
        <f>IFERROR(SMALL($T$3:$T$228,ROWS($T$3:T124)),"")</f>
        <v/>
      </c>
      <c r="V124" s="1" t="str">
        <f>IF(U124&lt;&gt;"",INDEX($G$3:$I$228,MATCH($U124,$T$3:$T$228,0),COLUMNS($U$3:U124)),"")</f>
        <v/>
      </c>
      <c r="W124" s="1" t="str">
        <f>IF(V124&lt;&gt;"",INDEX($G$3:$I$228,MATCH($U124,$T$3:$T$228,0),COLUMNS($U$3:V124)),"")</f>
        <v/>
      </c>
      <c r="X124" s="1" t="str">
        <f>IF(W124&lt;&gt;"",INDEX($G$3:$I$228,MATCH($U124,$T$3:$T$228,0),COLUMNS($U$3:W124)),"")</f>
        <v/>
      </c>
      <c r="Z124" s="1" t="b">
        <f t="shared" si="5"/>
        <v>1</v>
      </c>
      <c r="AA124" s="1">
        <f>IF(Z124=TRUE,ROWS($Z$3:Z124),"")</f>
        <v>122</v>
      </c>
      <c r="AB124" s="1">
        <f>IFERROR(SMALL($AA$3:$AA$228,ROWS($AA$3:AA124)),"")</f>
        <v>122</v>
      </c>
      <c r="AC124" s="1" t="str">
        <f>IF(AB124&lt;&gt;"",INDEX($G$3:$I$228,MATCH($AB124,$AA$3:$AA$228,0),COLUMNS($AA$3:AA124)),"")</f>
        <v>Naivas Imara Daima</v>
      </c>
      <c r="AD124" s="1">
        <f>IF(AC124&lt;&gt;"",INDEX($G$3:$I$228,MATCH($AB124,$AA$3:$AA$228,0),COLUMNS($AA$3:AB124)),"")</f>
        <v>51443.520000000004</v>
      </c>
      <c r="AE124" s="1" t="str">
        <f>IF(AD124&lt;&gt;"",INDEX($G$3:$I$228,MATCH($AB124,$AA$3:$AA$228,0),COLUMNS($AA$3:AC124)),"")</f>
        <v>Nairobi</v>
      </c>
    </row>
    <row r="125" spans="1:31" x14ac:dyDescent="0.2">
      <c r="A125" s="2">
        <v>44749</v>
      </c>
      <c r="B125" s="1" t="s">
        <v>70</v>
      </c>
      <c r="C125" s="1" t="s">
        <v>3</v>
      </c>
      <c r="D125" s="1">
        <v>132799</v>
      </c>
      <c r="E125" s="3">
        <v>100387.49</v>
      </c>
      <c r="F125" s="1" t="s">
        <v>8</v>
      </c>
      <c r="G125" s="1" t="s">
        <v>156</v>
      </c>
      <c r="H125" s="3">
        <f>SUMIFS(Table1[Value],Table1[Outlets],G125)</f>
        <v>51195.05</v>
      </c>
      <c r="I125" s="1" t="str">
        <f>IFERROR(VLOOKUP(G125,Table1[[Outlets]:[Region]],2,0),"")</f>
        <v>Central</v>
      </c>
      <c r="K125" s="1" t="b">
        <f t="shared" si="3"/>
        <v>0</v>
      </c>
      <c r="L125" s="1" t="str">
        <f>IF(K125=TRUE,ROWS($J$3:J125),"")</f>
        <v/>
      </c>
      <c r="M125" s="1" t="str">
        <f>IFERROR(SMALL($L$3:$L$228,ROWS($L$3:L125)),"")</f>
        <v/>
      </c>
      <c r="N125" s="1" t="str">
        <f>IF(M125&lt;&gt;"",INDEX($G$3:$I$228,MATCH($M125,$L$3:$L$228,0),COLUMNS($L$3:L125)),"")</f>
        <v/>
      </c>
      <c r="O125" s="3" t="str">
        <f>IF(N125&lt;&gt;"",INDEX($G$3:$I$228,MATCH($M125,$L$3:$L$228,0),COLUMNS($L$3:M125)),"")</f>
        <v/>
      </c>
      <c r="P125" s="1" t="str">
        <f>IF(O125&lt;&gt;"",INDEX($G$3:$I$228,MATCH($M125,$L$3:$L$228,0),COLUMNS($L$3:N125)),"")</f>
        <v/>
      </c>
      <c r="S125" s="1" t="b">
        <f t="shared" si="4"/>
        <v>0</v>
      </c>
      <c r="T125" s="1" t="str">
        <f>IF(S125=TRUE,ROWS($S$3:S125),"")</f>
        <v/>
      </c>
      <c r="U125" s="1" t="str">
        <f>IFERROR(SMALL($T$3:$T$228,ROWS($T$3:T125)),"")</f>
        <v/>
      </c>
      <c r="V125" s="1" t="str">
        <f>IF(U125&lt;&gt;"",INDEX($G$3:$I$228,MATCH($U125,$T$3:$T$228,0),COLUMNS($U$3:U125)),"")</f>
        <v/>
      </c>
      <c r="W125" s="1" t="str">
        <f>IF(V125&lt;&gt;"",INDEX($G$3:$I$228,MATCH($U125,$T$3:$T$228,0),COLUMNS($U$3:V125)),"")</f>
        <v/>
      </c>
      <c r="X125" s="1" t="str">
        <f>IF(W125&lt;&gt;"",INDEX($G$3:$I$228,MATCH($U125,$T$3:$T$228,0),COLUMNS($U$3:W125)),"")</f>
        <v/>
      </c>
      <c r="Z125" s="1" t="b">
        <f t="shared" si="5"/>
        <v>1</v>
      </c>
      <c r="AA125" s="1">
        <f>IF(Z125=TRUE,ROWS($Z$3:Z125),"")</f>
        <v>123</v>
      </c>
      <c r="AB125" s="1">
        <f>IFERROR(SMALL($AA$3:$AA$228,ROWS($AA$3:AA125)),"")</f>
        <v>123</v>
      </c>
      <c r="AC125" s="1" t="str">
        <f>IF(AB125&lt;&gt;"",INDEX($G$3:$I$228,MATCH($AB125,$AA$3:$AA$228,0),COLUMNS($AA$3:AA125)),"")</f>
        <v>Naivas Nyeri</v>
      </c>
      <c r="AD125" s="1">
        <f>IF(AC125&lt;&gt;"",INDEX($G$3:$I$228,MATCH($AB125,$AA$3:$AA$228,0),COLUMNS($AA$3:AB125)),"")</f>
        <v>51195.05</v>
      </c>
      <c r="AE125" s="1" t="str">
        <f>IF(AD125&lt;&gt;"",INDEX($G$3:$I$228,MATCH($AB125,$AA$3:$AA$228,0),COLUMNS($AA$3:AC125)),"")</f>
        <v>Central</v>
      </c>
    </row>
    <row r="126" spans="1:31" x14ac:dyDescent="0.2">
      <c r="A126" s="2">
        <v>44749</v>
      </c>
      <c r="B126" s="1" t="s">
        <v>135</v>
      </c>
      <c r="C126" s="1" t="s">
        <v>3</v>
      </c>
      <c r="D126" s="1">
        <v>132801</v>
      </c>
      <c r="E126" s="3">
        <v>25012.49</v>
      </c>
      <c r="F126" s="1" t="s">
        <v>11</v>
      </c>
      <c r="G126" s="1" t="s">
        <v>208</v>
      </c>
      <c r="H126" s="3">
        <f>SUMIFS(Table1[Value],Table1[Outlets],G126)</f>
        <v>51107.6</v>
      </c>
      <c r="I126" s="1" t="str">
        <f>IFERROR(VLOOKUP(G126,Table1[[Outlets]:[Region]],2,0),"")</f>
        <v>Coast</v>
      </c>
      <c r="K126" s="1" t="b">
        <f t="shared" si="3"/>
        <v>0</v>
      </c>
      <c r="L126" s="1" t="str">
        <f>IF(K126=TRUE,ROWS($J$3:J126),"")</f>
        <v/>
      </c>
      <c r="M126" s="1" t="str">
        <f>IFERROR(SMALL($L$3:$L$228,ROWS($L$3:L126)),"")</f>
        <v/>
      </c>
      <c r="N126" s="1" t="str">
        <f>IF(M126&lt;&gt;"",INDEX($G$3:$I$228,MATCH($M126,$L$3:$L$228,0),COLUMNS($L$3:L126)),"")</f>
        <v/>
      </c>
      <c r="O126" s="3" t="str">
        <f>IF(N126&lt;&gt;"",INDEX($G$3:$I$228,MATCH($M126,$L$3:$L$228,0),COLUMNS($L$3:M126)),"")</f>
        <v/>
      </c>
      <c r="P126" s="1" t="str">
        <f>IF(O126&lt;&gt;"",INDEX($G$3:$I$228,MATCH($M126,$L$3:$L$228,0),COLUMNS($L$3:N126)),"")</f>
        <v/>
      </c>
      <c r="S126" s="1" t="b">
        <f t="shared" si="4"/>
        <v>0</v>
      </c>
      <c r="T126" s="1" t="str">
        <f>IF(S126=TRUE,ROWS($S$3:S126),"")</f>
        <v/>
      </c>
      <c r="U126" s="1" t="str">
        <f>IFERROR(SMALL($T$3:$T$228,ROWS($T$3:T126)),"")</f>
        <v/>
      </c>
      <c r="V126" s="1" t="str">
        <f>IF(U126&lt;&gt;"",INDEX($G$3:$I$228,MATCH($U126,$T$3:$T$228,0),COLUMNS($U$3:U126)),"")</f>
        <v/>
      </c>
      <c r="W126" s="1" t="str">
        <f>IF(V126&lt;&gt;"",INDEX($G$3:$I$228,MATCH($U126,$T$3:$T$228,0),COLUMNS($U$3:V126)),"")</f>
        <v/>
      </c>
      <c r="X126" s="1" t="str">
        <f>IF(W126&lt;&gt;"",INDEX($G$3:$I$228,MATCH($U126,$T$3:$T$228,0),COLUMNS($U$3:W126)),"")</f>
        <v/>
      </c>
      <c r="Z126" s="1" t="b">
        <f t="shared" si="5"/>
        <v>1</v>
      </c>
      <c r="AA126" s="1">
        <f>IF(Z126=TRUE,ROWS($Z$3:Z126),"")</f>
        <v>124</v>
      </c>
      <c r="AB126" s="1">
        <f>IFERROR(SMALL($AA$3:$AA$228,ROWS($AA$3:AA126)),"")</f>
        <v>124</v>
      </c>
      <c r="AC126" s="1" t="str">
        <f>IF(AB126&lt;&gt;"",INDEX($G$3:$I$228,MATCH($AB126,$AA$3:$AA$228,0),COLUMNS($AA$3:AA126)),"")</f>
        <v>Naivas Digo</v>
      </c>
      <c r="AD126" s="1">
        <f>IF(AC126&lt;&gt;"",INDEX($G$3:$I$228,MATCH($AB126,$AA$3:$AA$228,0),COLUMNS($AA$3:AB126)),"")</f>
        <v>51107.6</v>
      </c>
      <c r="AE126" s="1" t="str">
        <f>IF(AD126&lt;&gt;"",INDEX($G$3:$I$228,MATCH($AB126,$AA$3:$AA$228,0),COLUMNS($AA$3:AC126)),"")</f>
        <v>Coast</v>
      </c>
    </row>
    <row r="127" spans="1:31" x14ac:dyDescent="0.2">
      <c r="A127" s="2">
        <v>44749</v>
      </c>
      <c r="B127" s="1" t="s">
        <v>136</v>
      </c>
      <c r="C127" s="1" t="s">
        <v>3</v>
      </c>
      <c r="D127" s="1">
        <v>132810</v>
      </c>
      <c r="E127" s="3">
        <v>149463.96</v>
      </c>
      <c r="F127" s="1" t="s">
        <v>11</v>
      </c>
      <c r="G127" s="1" t="s">
        <v>79</v>
      </c>
      <c r="H127" s="3">
        <f>SUMIFS(Table1[Value],Table1[Outlets],G127)</f>
        <v>49931.67</v>
      </c>
      <c r="I127" s="1" t="str">
        <f>IFERROR(VLOOKUP(G127,Table1[[Outlets]:[Region]],2,0),"")</f>
        <v>Nairobi</v>
      </c>
      <c r="K127" s="1" t="b">
        <f t="shared" si="3"/>
        <v>0</v>
      </c>
      <c r="L127" s="1" t="str">
        <f>IF(K127=TRUE,ROWS($J$3:J127),"")</f>
        <v/>
      </c>
      <c r="M127" s="1" t="str">
        <f>IFERROR(SMALL($L$3:$L$228,ROWS($L$3:L127)),"")</f>
        <v/>
      </c>
      <c r="N127" s="1" t="str">
        <f>IF(M127&lt;&gt;"",INDEX($G$3:$I$228,MATCH($M127,$L$3:$L$228,0),COLUMNS($L$3:L127)),"")</f>
        <v/>
      </c>
      <c r="O127" s="3" t="str">
        <f>IF(N127&lt;&gt;"",INDEX($G$3:$I$228,MATCH($M127,$L$3:$L$228,0),COLUMNS($L$3:M127)),"")</f>
        <v/>
      </c>
      <c r="P127" s="1" t="str">
        <f>IF(O127&lt;&gt;"",INDEX($G$3:$I$228,MATCH($M127,$L$3:$L$228,0),COLUMNS($L$3:N127)),"")</f>
        <v/>
      </c>
      <c r="S127" s="1" t="b">
        <f t="shared" si="4"/>
        <v>0</v>
      </c>
      <c r="T127" s="1" t="str">
        <f>IF(S127=TRUE,ROWS($S$3:S127),"")</f>
        <v/>
      </c>
      <c r="U127" s="1" t="str">
        <f>IFERROR(SMALL($T$3:$T$228,ROWS($T$3:T127)),"")</f>
        <v/>
      </c>
      <c r="V127" s="1" t="str">
        <f>IF(U127&lt;&gt;"",INDEX($G$3:$I$228,MATCH($U127,$T$3:$T$228,0),COLUMNS($U$3:U127)),"")</f>
        <v/>
      </c>
      <c r="W127" s="1" t="str">
        <f>IF(V127&lt;&gt;"",INDEX($G$3:$I$228,MATCH($U127,$T$3:$T$228,0),COLUMNS($U$3:V127)),"")</f>
        <v/>
      </c>
      <c r="X127" s="1" t="str">
        <f>IF(W127&lt;&gt;"",INDEX($G$3:$I$228,MATCH($U127,$T$3:$T$228,0),COLUMNS($U$3:W127)),"")</f>
        <v/>
      </c>
      <c r="Z127" s="1" t="b">
        <f t="shared" si="5"/>
        <v>1</v>
      </c>
      <c r="AA127" s="1">
        <f>IF(Z127=TRUE,ROWS($Z$3:Z127),"")</f>
        <v>125</v>
      </c>
      <c r="AB127" s="1">
        <f>IFERROR(SMALL($AA$3:$AA$228,ROWS($AA$3:AA127)),"")</f>
        <v>125</v>
      </c>
      <c r="AC127" s="1" t="str">
        <f>IF(AB127&lt;&gt;"",INDEX($G$3:$I$228,MATCH($AB127,$AA$3:$AA$228,0),COLUMNS($AA$3:AA127)),"")</f>
        <v>Naivas Spur Mall</v>
      </c>
      <c r="AD127" s="1">
        <f>IF(AC127&lt;&gt;"",INDEX($G$3:$I$228,MATCH($AB127,$AA$3:$AA$228,0),COLUMNS($AA$3:AB127)),"")</f>
        <v>49931.67</v>
      </c>
      <c r="AE127" s="1" t="str">
        <f>IF(AD127&lt;&gt;"",INDEX($G$3:$I$228,MATCH($AB127,$AA$3:$AA$228,0),COLUMNS($AA$3:AC127)),"")</f>
        <v>Nairobi</v>
      </c>
    </row>
    <row r="128" spans="1:31" x14ac:dyDescent="0.2">
      <c r="A128" s="2">
        <v>44749</v>
      </c>
      <c r="B128" s="1" t="s">
        <v>137</v>
      </c>
      <c r="C128" s="1" t="s">
        <v>3</v>
      </c>
      <c r="D128" s="1">
        <v>132812</v>
      </c>
      <c r="E128" s="3">
        <v>8340.51</v>
      </c>
      <c r="F128" s="1" t="s">
        <v>11</v>
      </c>
      <c r="G128" s="1" t="s">
        <v>92</v>
      </c>
      <c r="H128" s="3">
        <f>SUMIFS(Table1[Value],Table1[Outlets],G128)</f>
        <v>48838.81</v>
      </c>
      <c r="I128" s="1" t="str">
        <f>IFERROR(VLOOKUP(G128,Table1[[Outlets]:[Region]],2,0),"")</f>
        <v>Nairobi</v>
      </c>
      <c r="K128" s="1" t="b">
        <f t="shared" si="3"/>
        <v>0</v>
      </c>
      <c r="L128" s="1" t="str">
        <f>IF(K128=TRUE,ROWS($J$3:J128),"")</f>
        <v/>
      </c>
      <c r="M128" s="1" t="str">
        <f>IFERROR(SMALL($L$3:$L$228,ROWS($L$3:L128)),"")</f>
        <v/>
      </c>
      <c r="N128" s="1" t="str">
        <f>IF(M128&lt;&gt;"",INDEX($G$3:$I$228,MATCH($M128,$L$3:$L$228,0),COLUMNS($L$3:L128)),"")</f>
        <v/>
      </c>
      <c r="O128" s="3" t="str">
        <f>IF(N128&lt;&gt;"",INDEX($G$3:$I$228,MATCH($M128,$L$3:$L$228,0),COLUMNS($L$3:M128)),"")</f>
        <v/>
      </c>
      <c r="P128" s="1" t="str">
        <f>IF(O128&lt;&gt;"",INDEX($G$3:$I$228,MATCH($M128,$L$3:$L$228,0),COLUMNS($L$3:N128)),"")</f>
        <v/>
      </c>
      <c r="S128" s="1" t="b">
        <f t="shared" si="4"/>
        <v>0</v>
      </c>
      <c r="T128" s="1" t="str">
        <f>IF(S128=TRUE,ROWS($S$3:S128),"")</f>
        <v/>
      </c>
      <c r="U128" s="1" t="str">
        <f>IFERROR(SMALL($T$3:$T$228,ROWS($T$3:T128)),"")</f>
        <v/>
      </c>
      <c r="V128" s="1" t="str">
        <f>IF(U128&lt;&gt;"",INDEX($G$3:$I$228,MATCH($U128,$T$3:$T$228,0),COLUMNS($U$3:U128)),"")</f>
        <v/>
      </c>
      <c r="W128" s="1" t="str">
        <f>IF(V128&lt;&gt;"",INDEX($G$3:$I$228,MATCH($U128,$T$3:$T$228,0),COLUMNS($U$3:V128)),"")</f>
        <v/>
      </c>
      <c r="X128" s="1" t="str">
        <f>IF(W128&lt;&gt;"",INDEX($G$3:$I$228,MATCH($U128,$T$3:$T$228,0),COLUMNS($U$3:W128)),"")</f>
        <v/>
      </c>
      <c r="Z128" s="1" t="b">
        <f t="shared" si="5"/>
        <v>1</v>
      </c>
      <c r="AA128" s="1">
        <f>IF(Z128=TRUE,ROWS($Z$3:Z128),"")</f>
        <v>126</v>
      </c>
      <c r="AB128" s="1">
        <f>IFERROR(SMALL($AA$3:$AA$228,ROWS($AA$3:AA128)),"")</f>
        <v>126</v>
      </c>
      <c r="AC128" s="1" t="str">
        <f>IF(AB128&lt;&gt;"",INDEX($G$3:$I$228,MATCH($AB128,$AA$3:$AA$228,0),COLUMNS($AA$3:AA128)),"")</f>
        <v>Quickmart Eastern By Pass 2</v>
      </c>
      <c r="AD128" s="1">
        <f>IF(AC128&lt;&gt;"",INDEX($G$3:$I$228,MATCH($AB128,$AA$3:$AA$228,0),COLUMNS($AA$3:AB128)),"")</f>
        <v>48838.81</v>
      </c>
      <c r="AE128" s="1" t="str">
        <f>IF(AD128&lt;&gt;"",INDEX($G$3:$I$228,MATCH($AB128,$AA$3:$AA$228,0),COLUMNS($AA$3:AC128)),"")</f>
        <v>Nairobi</v>
      </c>
    </row>
    <row r="129" spans="1:31" x14ac:dyDescent="0.2">
      <c r="A129" s="2">
        <v>44749</v>
      </c>
      <c r="B129" s="1" t="s">
        <v>90</v>
      </c>
      <c r="C129" s="1" t="s">
        <v>251</v>
      </c>
      <c r="D129" s="1">
        <v>132813</v>
      </c>
      <c r="E129" s="3">
        <v>90285.85</v>
      </c>
      <c r="F129" s="1" t="s">
        <v>9</v>
      </c>
      <c r="G129" s="1" t="s">
        <v>118</v>
      </c>
      <c r="H129" s="3">
        <f>SUMIFS(Table1[Value],Table1[Outlets],G129)</f>
        <v>48566.12</v>
      </c>
      <c r="I129" s="1" t="str">
        <f>IFERROR(VLOOKUP(G129,Table1[[Outlets]:[Region]],2,0),"")</f>
        <v>Nairobi</v>
      </c>
      <c r="K129" s="1" t="b">
        <f t="shared" si="3"/>
        <v>0</v>
      </c>
      <c r="L129" s="1" t="str">
        <f>IF(K129=TRUE,ROWS($J$3:J129),"")</f>
        <v/>
      </c>
      <c r="M129" s="1" t="str">
        <f>IFERROR(SMALL($L$3:$L$228,ROWS($L$3:L129)),"")</f>
        <v/>
      </c>
      <c r="N129" s="1" t="str">
        <f>IF(M129&lt;&gt;"",INDEX($G$3:$I$228,MATCH($M129,$L$3:$L$228,0),COLUMNS($L$3:L129)),"")</f>
        <v/>
      </c>
      <c r="O129" s="3" t="str">
        <f>IF(N129&lt;&gt;"",INDEX($G$3:$I$228,MATCH($M129,$L$3:$L$228,0),COLUMNS($L$3:M129)),"")</f>
        <v/>
      </c>
      <c r="P129" s="1" t="str">
        <f>IF(O129&lt;&gt;"",INDEX($G$3:$I$228,MATCH($M129,$L$3:$L$228,0),COLUMNS($L$3:N129)),"")</f>
        <v/>
      </c>
      <c r="S129" s="1" t="b">
        <f t="shared" si="4"/>
        <v>0</v>
      </c>
      <c r="T129" s="1" t="str">
        <f>IF(S129=TRUE,ROWS($S$3:S129),"")</f>
        <v/>
      </c>
      <c r="U129" s="1" t="str">
        <f>IFERROR(SMALL($T$3:$T$228,ROWS($T$3:T129)),"")</f>
        <v/>
      </c>
      <c r="V129" s="1" t="str">
        <f>IF(U129&lt;&gt;"",INDEX($G$3:$I$228,MATCH($U129,$T$3:$T$228,0),COLUMNS($U$3:U129)),"")</f>
        <v/>
      </c>
      <c r="W129" s="1" t="str">
        <f>IF(V129&lt;&gt;"",INDEX($G$3:$I$228,MATCH($U129,$T$3:$T$228,0),COLUMNS($U$3:V129)),"")</f>
        <v/>
      </c>
      <c r="X129" s="1" t="str">
        <f>IF(W129&lt;&gt;"",INDEX($G$3:$I$228,MATCH($U129,$T$3:$T$228,0),COLUMNS($U$3:W129)),"")</f>
        <v/>
      </c>
      <c r="Z129" s="1" t="b">
        <f t="shared" si="5"/>
        <v>1</v>
      </c>
      <c r="AA129" s="1">
        <f>IF(Z129=TRUE,ROWS($Z$3:Z129),"")</f>
        <v>127</v>
      </c>
      <c r="AB129" s="1">
        <f>IFERROR(SMALL($AA$3:$AA$228,ROWS($AA$3:AA129)),"")</f>
        <v>127</v>
      </c>
      <c r="AC129" s="1" t="str">
        <f>IF(AB129&lt;&gt;"",INDEX($G$3:$I$228,MATCH($AB129,$AA$3:$AA$228,0),COLUMNS($AA$3:AA129)),"")</f>
        <v>Naivas Greenhouse</v>
      </c>
      <c r="AD129" s="1">
        <f>IF(AC129&lt;&gt;"",INDEX($G$3:$I$228,MATCH($AB129,$AA$3:$AA$228,0),COLUMNS($AA$3:AB129)),"")</f>
        <v>48566.12</v>
      </c>
      <c r="AE129" s="1" t="str">
        <f>IF(AD129&lt;&gt;"",INDEX($G$3:$I$228,MATCH($AB129,$AA$3:$AA$228,0),COLUMNS($AA$3:AC129)),"")</f>
        <v>Nairobi</v>
      </c>
    </row>
    <row r="130" spans="1:31" x14ac:dyDescent="0.2">
      <c r="A130" s="2">
        <v>44749</v>
      </c>
      <c r="B130" s="1" t="s">
        <v>138</v>
      </c>
      <c r="C130" s="1" t="s">
        <v>249</v>
      </c>
      <c r="D130" s="1">
        <v>132816</v>
      </c>
      <c r="E130" s="3">
        <v>87200.31</v>
      </c>
      <c r="F130" s="1" t="s">
        <v>11</v>
      </c>
      <c r="G130" s="1" t="s">
        <v>52</v>
      </c>
      <c r="H130" s="3">
        <f>SUMIFS(Table1[Value],Table1[Outlets],G130)</f>
        <v>47818.7</v>
      </c>
      <c r="I130" s="1" t="str">
        <f>IFERROR(VLOOKUP(G130,Table1[[Outlets]:[Region]],2,0),"")</f>
        <v>Nairobi</v>
      </c>
      <c r="K130" s="1" t="b">
        <f t="shared" si="3"/>
        <v>0</v>
      </c>
      <c r="L130" s="1" t="str">
        <f>IF(K130=TRUE,ROWS($J$3:J130),"")</f>
        <v/>
      </c>
      <c r="M130" s="1" t="str">
        <f>IFERROR(SMALL($L$3:$L$228,ROWS($L$3:L130)),"")</f>
        <v/>
      </c>
      <c r="N130" s="1" t="str">
        <f>IF(M130&lt;&gt;"",INDEX($G$3:$I$228,MATCH($M130,$L$3:$L$228,0),COLUMNS($L$3:L130)),"")</f>
        <v/>
      </c>
      <c r="O130" s="3" t="str">
        <f>IF(N130&lt;&gt;"",INDEX($G$3:$I$228,MATCH($M130,$L$3:$L$228,0),COLUMNS($L$3:M130)),"")</f>
        <v/>
      </c>
      <c r="P130" s="1" t="str">
        <f>IF(O130&lt;&gt;"",INDEX($G$3:$I$228,MATCH($M130,$L$3:$L$228,0),COLUMNS($L$3:N130)),"")</f>
        <v/>
      </c>
      <c r="S130" s="1" t="b">
        <f t="shared" si="4"/>
        <v>0</v>
      </c>
      <c r="T130" s="1" t="str">
        <f>IF(S130=TRUE,ROWS($S$3:S130),"")</f>
        <v/>
      </c>
      <c r="U130" s="1" t="str">
        <f>IFERROR(SMALL($T$3:$T$228,ROWS($T$3:T130)),"")</f>
        <v/>
      </c>
      <c r="V130" s="1" t="str">
        <f>IF(U130&lt;&gt;"",INDEX($G$3:$I$228,MATCH($U130,$T$3:$T$228,0),COLUMNS($U$3:U130)),"")</f>
        <v/>
      </c>
      <c r="W130" s="1" t="str">
        <f>IF(V130&lt;&gt;"",INDEX($G$3:$I$228,MATCH($U130,$T$3:$T$228,0),COLUMNS($U$3:V130)),"")</f>
        <v/>
      </c>
      <c r="X130" s="1" t="str">
        <f>IF(W130&lt;&gt;"",INDEX($G$3:$I$228,MATCH($U130,$T$3:$T$228,0),COLUMNS($U$3:W130)),"")</f>
        <v/>
      </c>
      <c r="Z130" s="1" t="b">
        <f t="shared" si="5"/>
        <v>1</v>
      </c>
      <c r="AA130" s="1">
        <f>IF(Z130=TRUE,ROWS($Z$3:Z130),"")</f>
        <v>128</v>
      </c>
      <c r="AB130" s="1">
        <f>IFERROR(SMALL($AA$3:$AA$228,ROWS($AA$3:AA130)),"")</f>
        <v>128</v>
      </c>
      <c r="AC130" s="1" t="str">
        <f>IF(AB130&lt;&gt;"",INDEX($G$3:$I$228,MATCH($AB130,$AA$3:$AA$228,0),COLUMNS($AA$3:AA130)),"")</f>
        <v>Naivas Greenspan</v>
      </c>
      <c r="AD130" s="1">
        <f>IF(AC130&lt;&gt;"",INDEX($G$3:$I$228,MATCH($AB130,$AA$3:$AA$228,0),COLUMNS($AA$3:AB130)),"")</f>
        <v>47818.7</v>
      </c>
      <c r="AE130" s="1" t="str">
        <f>IF(AD130&lt;&gt;"",INDEX($G$3:$I$228,MATCH($AB130,$AA$3:$AA$228,0),COLUMNS($AA$3:AC130)),"")</f>
        <v>Nairobi</v>
      </c>
    </row>
    <row r="131" spans="1:31" x14ac:dyDescent="0.2">
      <c r="A131" s="2">
        <v>44750</v>
      </c>
      <c r="B131" s="1" t="s">
        <v>69</v>
      </c>
      <c r="C131" s="1" t="s">
        <v>3</v>
      </c>
      <c r="D131" s="1">
        <v>132828</v>
      </c>
      <c r="E131" s="3">
        <v>96112.5</v>
      </c>
      <c r="F131" s="1" t="s">
        <v>8</v>
      </c>
      <c r="G131" s="1" t="s">
        <v>141</v>
      </c>
      <c r="H131" s="3">
        <f>SUMIFS(Table1[Value],Table1[Outlets],G131)</f>
        <v>46008.619999999995</v>
      </c>
      <c r="I131" s="1" t="str">
        <f>IFERROR(VLOOKUP(G131,Table1[[Outlets]:[Region]],2,0),"")</f>
        <v>Nairobi</v>
      </c>
      <c r="K131" s="1" t="b">
        <f t="shared" ref="K131:K194" si="6">AND($K$2&lt;&gt;"",ISNUMBER(SEARCH($K$2,G131)))</f>
        <v>0</v>
      </c>
      <c r="L131" s="1" t="str">
        <f>IF(K131=TRUE,ROWS($J$3:J131),"")</f>
        <v/>
      </c>
      <c r="M131" s="1" t="str">
        <f>IFERROR(SMALL($L$3:$L$228,ROWS($L$3:L131)),"")</f>
        <v/>
      </c>
      <c r="N131" s="1" t="str">
        <f>IF(M131&lt;&gt;"",INDEX($G$3:$I$228,MATCH($M131,$L$3:$L$228,0),COLUMNS($L$3:L131)),"")</f>
        <v/>
      </c>
      <c r="O131" s="3" t="str">
        <f>IF(N131&lt;&gt;"",INDEX($G$3:$I$228,MATCH($M131,$L$3:$L$228,0),COLUMNS($L$3:M131)),"")</f>
        <v/>
      </c>
      <c r="P131" s="1" t="str">
        <f>IF(O131&lt;&gt;"",INDEX($G$3:$I$228,MATCH($M131,$L$3:$L$228,0),COLUMNS($L$3:N131)),"")</f>
        <v/>
      </c>
      <c r="S131" s="1" t="b">
        <f t="shared" si="4"/>
        <v>0</v>
      </c>
      <c r="T131" s="1" t="str">
        <f>IF(S131=TRUE,ROWS($S$3:S131),"")</f>
        <v/>
      </c>
      <c r="U131" s="1" t="str">
        <f>IFERROR(SMALL($T$3:$T$228,ROWS($T$3:T131)),"")</f>
        <v/>
      </c>
      <c r="V131" s="1" t="str">
        <f>IF(U131&lt;&gt;"",INDEX($G$3:$I$228,MATCH($U131,$T$3:$T$228,0),COLUMNS($U$3:U131)),"")</f>
        <v/>
      </c>
      <c r="W131" s="1" t="str">
        <f>IF(V131&lt;&gt;"",INDEX($G$3:$I$228,MATCH($U131,$T$3:$T$228,0),COLUMNS($U$3:V131)),"")</f>
        <v/>
      </c>
      <c r="X131" s="1" t="str">
        <f>IF(W131&lt;&gt;"",INDEX($G$3:$I$228,MATCH($U131,$T$3:$T$228,0),COLUMNS($U$3:W131)),"")</f>
        <v/>
      </c>
      <c r="Z131" s="1" t="b">
        <f t="shared" si="5"/>
        <v>1</v>
      </c>
      <c r="AA131" s="1">
        <f>IF(Z131=TRUE,ROWS($Z$3:Z131),"")</f>
        <v>129</v>
      </c>
      <c r="AB131" s="1">
        <f>IFERROR(SMALL($AA$3:$AA$228,ROWS($AA$3:AA131)),"")</f>
        <v>129</v>
      </c>
      <c r="AC131" s="1" t="str">
        <f>IF(AB131&lt;&gt;"",INDEX($G$3:$I$228,MATCH($AB131,$AA$3:$AA$228,0),COLUMNS($AA$3:AA131)),"")</f>
        <v>Naivas Dev House</v>
      </c>
      <c r="AD131" s="1">
        <f>IF(AC131&lt;&gt;"",INDEX($G$3:$I$228,MATCH($AB131,$AA$3:$AA$228,0),COLUMNS($AA$3:AB131)),"")</f>
        <v>46008.619999999995</v>
      </c>
      <c r="AE131" s="1" t="str">
        <f>IF(AD131&lt;&gt;"",INDEX($G$3:$I$228,MATCH($AB131,$AA$3:$AA$228,0),COLUMNS($AA$3:AC131)),"")</f>
        <v>Nairobi</v>
      </c>
    </row>
    <row r="132" spans="1:31" x14ac:dyDescent="0.2">
      <c r="A132" s="2">
        <v>44750</v>
      </c>
      <c r="B132" s="1" t="s">
        <v>66</v>
      </c>
      <c r="C132" s="1" t="s">
        <v>3</v>
      </c>
      <c r="D132" s="1">
        <v>132829</v>
      </c>
      <c r="E132" s="3">
        <v>144425.47</v>
      </c>
      <c r="F132" s="1" t="s">
        <v>8</v>
      </c>
      <c r="G132" s="1" t="s">
        <v>31</v>
      </c>
      <c r="H132" s="3">
        <f>SUMIFS(Table1[Value],Table1[Outlets],G132)</f>
        <v>44888.95</v>
      </c>
      <c r="I132" s="1" t="str">
        <f>IFERROR(VLOOKUP(G132,Table1[[Outlets]:[Region]],2,0),"")</f>
        <v>Coast</v>
      </c>
      <c r="K132" s="1" t="b">
        <f t="shared" si="6"/>
        <v>1</v>
      </c>
      <c r="L132" s="1">
        <f>IF(K132=TRUE,ROWS($J$3:J132),"")</f>
        <v>130</v>
      </c>
      <c r="M132" s="1" t="str">
        <f>IFERROR(SMALL($L$3:$L$228,ROWS($L$3:L132)),"")</f>
        <v/>
      </c>
      <c r="N132" s="1" t="str">
        <f>IF(M132&lt;&gt;"",INDEX($G$3:$I$228,MATCH($M132,$L$3:$L$228,0),COLUMNS($L$3:L132)),"")</f>
        <v/>
      </c>
      <c r="O132" s="3" t="str">
        <f>IF(N132&lt;&gt;"",INDEX($G$3:$I$228,MATCH($M132,$L$3:$L$228,0),COLUMNS($L$3:M132)),"")</f>
        <v/>
      </c>
      <c r="P132" s="1" t="str">
        <f>IF(O132&lt;&gt;"",INDEX($G$3:$I$228,MATCH($M132,$L$3:$L$228,0),COLUMNS($L$3:N132)),"")</f>
        <v/>
      </c>
      <c r="S132" s="1" t="b">
        <f t="shared" ref="S132:S195" si="7">AND($S$2&lt;&gt;"",ISNUMBER(SEARCH($S$2,I132)))</f>
        <v>0</v>
      </c>
      <c r="T132" s="1" t="str">
        <f>IF(S132=TRUE,ROWS($S$3:S132),"")</f>
        <v/>
      </c>
      <c r="U132" s="1" t="str">
        <f>IFERROR(SMALL($T$3:$T$228,ROWS($T$3:T132)),"")</f>
        <v/>
      </c>
      <c r="V132" s="1" t="str">
        <f>IF(U132&lt;&gt;"",INDEX($G$3:$I$228,MATCH($U132,$T$3:$T$228,0),COLUMNS($U$3:U132)),"")</f>
        <v/>
      </c>
      <c r="W132" s="1" t="str">
        <f>IF(V132&lt;&gt;"",INDEX($G$3:$I$228,MATCH($U132,$T$3:$T$228,0),COLUMNS($U$3:V132)),"")</f>
        <v/>
      </c>
      <c r="X132" s="1" t="str">
        <f>IF(W132&lt;&gt;"",INDEX($G$3:$I$228,MATCH($U132,$T$3:$T$228,0),COLUMNS($U$3:W132)),"")</f>
        <v/>
      </c>
      <c r="Z132" s="1" t="b">
        <f t="shared" ref="Z132:Z195" si="8">IF($Z$2="",TRUE,ISNUMBER(SEARCH($Z$2,G132)))</f>
        <v>1</v>
      </c>
      <c r="AA132" s="1">
        <f>IF(Z132=TRUE,ROWS($Z$3:Z132),"")</f>
        <v>130</v>
      </c>
      <c r="AB132" s="1">
        <f>IFERROR(SMALL($AA$3:$AA$228,ROWS($AA$3:AA132)),"")</f>
        <v>130</v>
      </c>
      <c r="AC132" s="1" t="str">
        <f>IF(AB132&lt;&gt;"",INDEX($G$3:$I$228,MATCH($AB132,$AA$3:$AA$228,0),COLUMNS($AA$3:AA132)),"")</f>
        <v>Chandarana Airport Center</v>
      </c>
      <c r="AD132" s="1">
        <f>IF(AC132&lt;&gt;"",INDEX($G$3:$I$228,MATCH($AB132,$AA$3:$AA$228,0),COLUMNS($AA$3:AB132)),"")</f>
        <v>44888.95</v>
      </c>
      <c r="AE132" s="1" t="str">
        <f>IF(AD132&lt;&gt;"",INDEX($G$3:$I$228,MATCH($AB132,$AA$3:$AA$228,0),COLUMNS($AA$3:AC132)),"")</f>
        <v>Coast</v>
      </c>
    </row>
    <row r="133" spans="1:31" x14ac:dyDescent="0.2">
      <c r="A133" s="2">
        <v>44750</v>
      </c>
      <c r="B133" s="1" t="s">
        <v>63</v>
      </c>
      <c r="C133" s="1" t="s">
        <v>3</v>
      </c>
      <c r="D133" s="1">
        <v>132831</v>
      </c>
      <c r="E133" s="3">
        <v>100435.99</v>
      </c>
      <c r="F133" s="1" t="s">
        <v>8</v>
      </c>
      <c r="G133" s="1" t="s">
        <v>139</v>
      </c>
      <c r="H133" s="3">
        <f>SUMIFS(Table1[Value],Table1[Outlets],G133)</f>
        <v>44504.9</v>
      </c>
      <c r="I133" s="1" t="str">
        <f>IFERROR(VLOOKUP(G133,Table1[[Outlets]:[Region]],2,0),"")</f>
        <v>Nairobi</v>
      </c>
      <c r="K133" s="1" t="b">
        <f t="shared" si="6"/>
        <v>0</v>
      </c>
      <c r="L133" s="1" t="str">
        <f>IF(K133=TRUE,ROWS($J$3:J133),"")</f>
        <v/>
      </c>
      <c r="M133" s="1" t="str">
        <f>IFERROR(SMALL($L$3:$L$228,ROWS($L$3:L133)),"")</f>
        <v/>
      </c>
      <c r="N133" s="1" t="str">
        <f>IF(M133&lt;&gt;"",INDEX($G$3:$I$228,MATCH($M133,$L$3:$L$228,0),COLUMNS($L$3:L133)),"")</f>
        <v/>
      </c>
      <c r="O133" s="3" t="str">
        <f>IF(N133&lt;&gt;"",INDEX($G$3:$I$228,MATCH($M133,$L$3:$L$228,0),COLUMNS($L$3:M133)),"")</f>
        <v/>
      </c>
      <c r="P133" s="1" t="str">
        <f>IF(O133&lt;&gt;"",INDEX($G$3:$I$228,MATCH($M133,$L$3:$L$228,0),COLUMNS($L$3:N133)),"")</f>
        <v/>
      </c>
      <c r="S133" s="1" t="b">
        <f t="shared" si="7"/>
        <v>0</v>
      </c>
      <c r="T133" s="1" t="str">
        <f>IF(S133=TRUE,ROWS($S$3:S133),"")</f>
        <v/>
      </c>
      <c r="U133" s="1" t="str">
        <f>IFERROR(SMALL($T$3:$T$228,ROWS($T$3:T133)),"")</f>
        <v/>
      </c>
      <c r="V133" s="1" t="str">
        <f>IF(U133&lt;&gt;"",INDEX($G$3:$I$228,MATCH($U133,$T$3:$T$228,0),COLUMNS($U$3:U133)),"")</f>
        <v/>
      </c>
      <c r="W133" s="1" t="str">
        <f>IF(V133&lt;&gt;"",INDEX($G$3:$I$228,MATCH($U133,$T$3:$T$228,0),COLUMNS($U$3:V133)),"")</f>
        <v/>
      </c>
      <c r="X133" s="1" t="str">
        <f>IF(W133&lt;&gt;"",INDEX($G$3:$I$228,MATCH($U133,$T$3:$T$228,0),COLUMNS($U$3:W133)),"")</f>
        <v/>
      </c>
      <c r="Z133" s="1" t="b">
        <f t="shared" si="8"/>
        <v>1</v>
      </c>
      <c r="AA133" s="1">
        <f>IF(Z133=TRUE,ROWS($Z$3:Z133),"")</f>
        <v>131</v>
      </c>
      <c r="AB133" s="1">
        <f>IFERROR(SMALL($AA$3:$AA$228,ROWS($AA$3:AA133)),"")</f>
        <v>131</v>
      </c>
      <c r="AC133" s="1" t="str">
        <f>IF(AB133&lt;&gt;"",INDEX($G$3:$I$228,MATCH($AB133,$AA$3:$AA$228,0),COLUMNS($AA$3:AA133)),"")</f>
        <v>Quickmart Rongai Expresss</v>
      </c>
      <c r="AD133" s="1">
        <f>IF(AC133&lt;&gt;"",INDEX($G$3:$I$228,MATCH($AB133,$AA$3:$AA$228,0),COLUMNS($AA$3:AB133)),"")</f>
        <v>44504.9</v>
      </c>
      <c r="AE133" s="1" t="str">
        <f>IF(AD133&lt;&gt;"",INDEX($G$3:$I$228,MATCH($AB133,$AA$3:$AA$228,0),COLUMNS($AA$3:AC133)),"")</f>
        <v>Nairobi</v>
      </c>
    </row>
    <row r="134" spans="1:31" x14ac:dyDescent="0.2">
      <c r="A134" s="2">
        <v>44750</v>
      </c>
      <c r="B134" s="1" t="s">
        <v>71</v>
      </c>
      <c r="C134" s="1" t="s">
        <v>3</v>
      </c>
      <c r="D134" s="1">
        <v>132832</v>
      </c>
      <c r="E134" s="3">
        <v>113385</v>
      </c>
      <c r="F134" s="1" t="s">
        <v>8</v>
      </c>
      <c r="G134" s="1" t="s">
        <v>216</v>
      </c>
      <c r="H134" s="3">
        <f>SUMIFS(Table1[Value],Table1[Outlets],G134)</f>
        <v>44334.67</v>
      </c>
      <c r="I134" s="1" t="str">
        <f>IFERROR(VLOOKUP(G134,Table1[[Outlets]:[Region]],2,0),"")</f>
        <v>Rift valley</v>
      </c>
      <c r="K134" s="1" t="b">
        <f t="shared" si="6"/>
        <v>0</v>
      </c>
      <c r="L134" s="1" t="str">
        <f>IF(K134=TRUE,ROWS($J$3:J134),"")</f>
        <v/>
      </c>
      <c r="M134" s="1" t="str">
        <f>IFERROR(SMALL($L$3:$L$228,ROWS($L$3:L134)),"")</f>
        <v/>
      </c>
      <c r="N134" s="1" t="str">
        <f>IF(M134&lt;&gt;"",INDEX($G$3:$I$228,MATCH($M134,$L$3:$L$228,0),COLUMNS($L$3:L134)),"")</f>
        <v/>
      </c>
      <c r="O134" s="3" t="str">
        <f>IF(N134&lt;&gt;"",INDEX($G$3:$I$228,MATCH($M134,$L$3:$L$228,0),COLUMNS($L$3:M134)),"")</f>
        <v/>
      </c>
      <c r="P134" s="1" t="str">
        <f>IF(O134&lt;&gt;"",INDEX($G$3:$I$228,MATCH($M134,$L$3:$L$228,0),COLUMNS($L$3:N134)),"")</f>
        <v/>
      </c>
      <c r="S134" s="1" t="b">
        <f t="shared" si="7"/>
        <v>0</v>
      </c>
      <c r="T134" s="1" t="str">
        <f>IF(S134=TRUE,ROWS($S$3:S134),"")</f>
        <v/>
      </c>
      <c r="U134" s="1" t="str">
        <f>IFERROR(SMALL($T$3:$T$228,ROWS($T$3:T134)),"")</f>
        <v/>
      </c>
      <c r="V134" s="1" t="str">
        <f>IF(U134&lt;&gt;"",INDEX($G$3:$I$228,MATCH($U134,$T$3:$T$228,0),COLUMNS($U$3:U134)),"")</f>
        <v/>
      </c>
      <c r="W134" s="1" t="str">
        <f>IF(V134&lt;&gt;"",INDEX($G$3:$I$228,MATCH($U134,$T$3:$T$228,0),COLUMNS($U$3:V134)),"")</f>
        <v/>
      </c>
      <c r="X134" s="1" t="str">
        <f>IF(W134&lt;&gt;"",INDEX($G$3:$I$228,MATCH($U134,$T$3:$T$228,0),COLUMNS($U$3:W134)),"")</f>
        <v/>
      </c>
      <c r="Z134" s="1" t="b">
        <f t="shared" si="8"/>
        <v>1</v>
      </c>
      <c r="AA134" s="1">
        <f>IF(Z134=TRUE,ROWS($Z$3:Z134),"")</f>
        <v>132</v>
      </c>
      <c r="AB134" s="1">
        <f>IFERROR(SMALL($AA$3:$AA$228,ROWS($AA$3:AA134)),"")</f>
        <v>132</v>
      </c>
      <c r="AC134" s="1" t="str">
        <f>IF(AB134&lt;&gt;"",INDEX($G$3:$I$228,MATCH($AB134,$AA$3:$AA$228,0),COLUMNS($AA$3:AA134)),"")</f>
        <v>Naivas Safari</v>
      </c>
      <c r="AD134" s="1">
        <f>IF(AC134&lt;&gt;"",INDEX($G$3:$I$228,MATCH($AB134,$AA$3:$AA$228,0),COLUMNS($AA$3:AB134)),"")</f>
        <v>44334.67</v>
      </c>
      <c r="AE134" s="1" t="str">
        <f>IF(AD134&lt;&gt;"",INDEX($G$3:$I$228,MATCH($AB134,$AA$3:$AA$228,0),COLUMNS($AA$3:AC134)),"")</f>
        <v>Rift valley</v>
      </c>
    </row>
    <row r="135" spans="1:31" x14ac:dyDescent="0.2">
      <c r="A135" s="2">
        <v>44750</v>
      </c>
      <c r="B135" s="1" t="s">
        <v>71</v>
      </c>
      <c r="C135" s="1" t="s">
        <v>3</v>
      </c>
      <c r="D135" s="1">
        <v>132833</v>
      </c>
      <c r="E135" s="3">
        <v>138979.5</v>
      </c>
      <c r="F135" s="1" t="s">
        <v>8</v>
      </c>
      <c r="G135" s="1" t="s">
        <v>211</v>
      </c>
      <c r="H135" s="3">
        <f>SUMIFS(Table1[Value],Table1[Outlets],G135)</f>
        <v>43602.97</v>
      </c>
      <c r="I135" s="1" t="str">
        <f>IFERROR(VLOOKUP(G135,Table1[[Outlets]:[Region]],2,0),"")</f>
        <v>Rift valley</v>
      </c>
      <c r="K135" s="1" t="b">
        <f t="shared" si="6"/>
        <v>0</v>
      </c>
      <c r="L135" s="1" t="str">
        <f>IF(K135=TRUE,ROWS($J$3:J135),"")</f>
        <v/>
      </c>
      <c r="M135" s="1" t="str">
        <f>IFERROR(SMALL($L$3:$L$228,ROWS($L$3:L135)),"")</f>
        <v/>
      </c>
      <c r="N135" s="1" t="str">
        <f>IF(M135&lt;&gt;"",INDEX($G$3:$I$228,MATCH($M135,$L$3:$L$228,0),COLUMNS($L$3:L135)),"")</f>
        <v/>
      </c>
      <c r="O135" s="3" t="str">
        <f>IF(N135&lt;&gt;"",INDEX($G$3:$I$228,MATCH($M135,$L$3:$L$228,0),COLUMNS($L$3:M135)),"")</f>
        <v/>
      </c>
      <c r="P135" s="1" t="str">
        <f>IF(O135&lt;&gt;"",INDEX($G$3:$I$228,MATCH($M135,$L$3:$L$228,0),COLUMNS($L$3:N135)),"")</f>
        <v/>
      </c>
      <c r="S135" s="1" t="b">
        <f t="shared" si="7"/>
        <v>0</v>
      </c>
      <c r="T135" s="1" t="str">
        <f>IF(S135=TRUE,ROWS($S$3:S135),"")</f>
        <v/>
      </c>
      <c r="U135" s="1" t="str">
        <f>IFERROR(SMALL($T$3:$T$228,ROWS($T$3:T135)),"")</f>
        <v/>
      </c>
      <c r="V135" s="1" t="str">
        <f>IF(U135&lt;&gt;"",INDEX($G$3:$I$228,MATCH($U135,$T$3:$T$228,0),COLUMNS($U$3:U135)),"")</f>
        <v/>
      </c>
      <c r="W135" s="1" t="str">
        <f>IF(V135&lt;&gt;"",INDEX($G$3:$I$228,MATCH($U135,$T$3:$T$228,0),COLUMNS($U$3:V135)),"")</f>
        <v/>
      </c>
      <c r="X135" s="1" t="str">
        <f>IF(W135&lt;&gt;"",INDEX($G$3:$I$228,MATCH($U135,$T$3:$T$228,0),COLUMNS($U$3:W135)),"")</f>
        <v/>
      </c>
      <c r="Z135" s="1" t="b">
        <f t="shared" si="8"/>
        <v>1</v>
      </c>
      <c r="AA135" s="1">
        <f>IF(Z135=TRUE,ROWS($Z$3:Z135),"")</f>
        <v>133</v>
      </c>
      <c r="AB135" s="1">
        <f>IFERROR(SMALL($AA$3:$AA$228,ROWS($AA$3:AA135)),"")</f>
        <v>133</v>
      </c>
      <c r="AC135" s="1" t="str">
        <f>IF(AB135&lt;&gt;"",INDEX($G$3:$I$228,MATCH($AB135,$AA$3:$AA$228,0),COLUMNS($AA$3:AA135)),"")</f>
        <v>Naivas Kericho</v>
      </c>
      <c r="AD135" s="1">
        <f>IF(AC135&lt;&gt;"",INDEX($G$3:$I$228,MATCH($AB135,$AA$3:$AA$228,0),COLUMNS($AA$3:AB135)),"")</f>
        <v>43602.97</v>
      </c>
      <c r="AE135" s="1" t="str">
        <f>IF(AD135&lt;&gt;"",INDEX($G$3:$I$228,MATCH($AB135,$AA$3:$AA$228,0),COLUMNS($AA$3:AC135)),"")</f>
        <v>Rift valley</v>
      </c>
    </row>
    <row r="136" spans="1:31" x14ac:dyDescent="0.2">
      <c r="A136" s="2">
        <v>44750</v>
      </c>
      <c r="B136" s="1" t="s">
        <v>65</v>
      </c>
      <c r="C136" s="1" t="s">
        <v>3</v>
      </c>
      <c r="D136" s="1">
        <v>132835</v>
      </c>
      <c r="E136" s="3">
        <v>220429.34</v>
      </c>
      <c r="F136" s="1" t="s">
        <v>8</v>
      </c>
      <c r="G136" s="1" t="s">
        <v>73</v>
      </c>
      <c r="H136" s="3">
        <f>SUMIFS(Table1[Value],Table1[Outlets],G136)</f>
        <v>43582.600000000006</v>
      </c>
      <c r="I136" s="1" t="str">
        <f>IFERROR(VLOOKUP(G136,Table1[[Outlets]:[Region]],2,0),"")</f>
        <v>Nairobi</v>
      </c>
      <c r="K136" s="1" t="b">
        <f t="shared" si="6"/>
        <v>0</v>
      </c>
      <c r="L136" s="1" t="str">
        <f>IF(K136=TRUE,ROWS($J$3:J136),"")</f>
        <v/>
      </c>
      <c r="M136" s="1" t="str">
        <f>IFERROR(SMALL($L$3:$L$228,ROWS($L$3:L136)),"")</f>
        <v/>
      </c>
      <c r="N136" s="1" t="str">
        <f>IF(M136&lt;&gt;"",INDEX($G$3:$I$228,MATCH($M136,$L$3:$L$228,0),COLUMNS($L$3:L136)),"")</f>
        <v/>
      </c>
      <c r="O136" s="3" t="str">
        <f>IF(N136&lt;&gt;"",INDEX($G$3:$I$228,MATCH($M136,$L$3:$L$228,0),COLUMNS($L$3:M136)),"")</f>
        <v/>
      </c>
      <c r="P136" s="1" t="str">
        <f>IF(O136&lt;&gt;"",INDEX($G$3:$I$228,MATCH($M136,$L$3:$L$228,0),COLUMNS($L$3:N136)),"")</f>
        <v/>
      </c>
      <c r="S136" s="1" t="b">
        <f t="shared" si="7"/>
        <v>0</v>
      </c>
      <c r="T136" s="1" t="str">
        <f>IF(S136=TRUE,ROWS($S$3:S136),"")</f>
        <v/>
      </c>
      <c r="U136" s="1" t="str">
        <f>IFERROR(SMALL($T$3:$T$228,ROWS($T$3:T136)),"")</f>
        <v/>
      </c>
      <c r="V136" s="1" t="str">
        <f>IF(U136&lt;&gt;"",INDEX($G$3:$I$228,MATCH($U136,$T$3:$T$228,0),COLUMNS($U$3:U136)),"")</f>
        <v/>
      </c>
      <c r="W136" s="1" t="str">
        <f>IF(V136&lt;&gt;"",INDEX($G$3:$I$228,MATCH($U136,$T$3:$T$228,0),COLUMNS($U$3:V136)),"")</f>
        <v/>
      </c>
      <c r="X136" s="1" t="str">
        <f>IF(W136&lt;&gt;"",INDEX($G$3:$I$228,MATCH($U136,$T$3:$T$228,0),COLUMNS($U$3:W136)),"")</f>
        <v/>
      </c>
      <c r="Z136" s="1" t="b">
        <f t="shared" si="8"/>
        <v>1</v>
      </c>
      <c r="AA136" s="1">
        <f>IF(Z136=TRUE,ROWS($Z$3:Z136),"")</f>
        <v>134</v>
      </c>
      <c r="AB136" s="1">
        <f>IFERROR(SMALL($AA$3:$AA$228,ROWS($AA$3:AA136)),"")</f>
        <v>134</v>
      </c>
      <c r="AC136" s="1" t="str">
        <f>IF(AB136&lt;&gt;"",INDEX($G$3:$I$228,MATCH($AB136,$AA$3:$AA$228,0),COLUMNS($AA$3:AA136)),"")</f>
        <v>Powerstar Jambo</v>
      </c>
      <c r="AD136" s="1">
        <f>IF(AC136&lt;&gt;"",INDEX($G$3:$I$228,MATCH($AB136,$AA$3:$AA$228,0),COLUMNS($AA$3:AB136)),"")</f>
        <v>43582.600000000006</v>
      </c>
      <c r="AE136" s="1" t="str">
        <f>IF(AD136&lt;&gt;"",INDEX($G$3:$I$228,MATCH($AB136,$AA$3:$AA$228,0),COLUMNS($AA$3:AC136)),"")</f>
        <v>Nairobi</v>
      </c>
    </row>
    <row r="137" spans="1:31" x14ac:dyDescent="0.2">
      <c r="A137" s="2">
        <v>44750</v>
      </c>
      <c r="B137" s="1" t="s">
        <v>139</v>
      </c>
      <c r="C137" s="1" t="s">
        <v>3</v>
      </c>
      <c r="D137" s="1">
        <v>132837</v>
      </c>
      <c r="E137" s="3">
        <v>38423.440000000002</v>
      </c>
      <c r="F137" s="1" t="s">
        <v>9</v>
      </c>
      <c r="G137" s="1" t="s">
        <v>131</v>
      </c>
      <c r="H137" s="3">
        <f>SUMIFS(Table1[Value],Table1[Outlets],G137)</f>
        <v>43180.25</v>
      </c>
      <c r="I137" s="1" t="str">
        <f>IFERROR(VLOOKUP(G137,Table1[[Outlets]:[Region]],2,0),"")</f>
        <v>Nairobi</v>
      </c>
      <c r="K137" s="1" t="b">
        <f t="shared" si="6"/>
        <v>0</v>
      </c>
      <c r="L137" s="1" t="str">
        <f>IF(K137=TRUE,ROWS($J$3:J137),"")</f>
        <v/>
      </c>
      <c r="M137" s="1" t="str">
        <f>IFERROR(SMALL($L$3:$L$228,ROWS($L$3:L137)),"")</f>
        <v/>
      </c>
      <c r="N137" s="1" t="str">
        <f>IF(M137&lt;&gt;"",INDEX($G$3:$I$228,MATCH($M137,$L$3:$L$228,0),COLUMNS($L$3:L137)),"")</f>
        <v/>
      </c>
      <c r="O137" s="3" t="str">
        <f>IF(N137&lt;&gt;"",INDEX($G$3:$I$228,MATCH($M137,$L$3:$L$228,0),COLUMNS($L$3:M137)),"")</f>
        <v/>
      </c>
      <c r="P137" s="1" t="str">
        <f>IF(O137&lt;&gt;"",INDEX($G$3:$I$228,MATCH($M137,$L$3:$L$228,0),COLUMNS($L$3:N137)),"")</f>
        <v/>
      </c>
      <c r="S137" s="1" t="b">
        <f t="shared" si="7"/>
        <v>0</v>
      </c>
      <c r="T137" s="1" t="str">
        <f>IF(S137=TRUE,ROWS($S$3:S137),"")</f>
        <v/>
      </c>
      <c r="U137" s="1" t="str">
        <f>IFERROR(SMALL($T$3:$T$228,ROWS($T$3:T137)),"")</f>
        <v/>
      </c>
      <c r="V137" s="1" t="str">
        <f>IF(U137&lt;&gt;"",INDEX($G$3:$I$228,MATCH($U137,$T$3:$T$228,0),COLUMNS($U$3:U137)),"")</f>
        <v/>
      </c>
      <c r="W137" s="1" t="str">
        <f>IF(V137&lt;&gt;"",INDEX($G$3:$I$228,MATCH($U137,$T$3:$T$228,0),COLUMNS($U$3:V137)),"")</f>
        <v/>
      </c>
      <c r="X137" s="1" t="str">
        <f>IF(W137&lt;&gt;"",INDEX($G$3:$I$228,MATCH($U137,$T$3:$T$228,0),COLUMNS($U$3:W137)),"")</f>
        <v/>
      </c>
      <c r="Z137" s="1" t="b">
        <f t="shared" si="8"/>
        <v>1</v>
      </c>
      <c r="AA137" s="1">
        <f>IF(Z137=TRUE,ROWS($Z$3:Z137),"")</f>
        <v>135</v>
      </c>
      <c r="AB137" s="1">
        <f>IFERROR(SMALL($AA$3:$AA$228,ROWS($AA$3:AA137)),"")</f>
        <v>135</v>
      </c>
      <c r="AC137" s="1" t="str">
        <f>IF(AB137&lt;&gt;"",INDEX($G$3:$I$228,MATCH($AB137,$AA$3:$AA$228,0),COLUMNS($AA$3:AA137)),"")</f>
        <v>Defco Memorial</v>
      </c>
      <c r="AD137" s="1">
        <f>IF(AC137&lt;&gt;"",INDEX($G$3:$I$228,MATCH($AB137,$AA$3:$AA$228,0),COLUMNS($AA$3:AB137)),"")</f>
        <v>43180.25</v>
      </c>
      <c r="AE137" s="1" t="str">
        <f>IF(AD137&lt;&gt;"",INDEX($G$3:$I$228,MATCH($AB137,$AA$3:$AA$228,0),COLUMNS($AA$3:AC137)),"")</f>
        <v>Nairobi</v>
      </c>
    </row>
    <row r="138" spans="1:31" x14ac:dyDescent="0.2">
      <c r="A138" s="2">
        <v>44750</v>
      </c>
      <c r="B138" s="1" t="s">
        <v>68</v>
      </c>
      <c r="C138" s="1" t="s">
        <v>3</v>
      </c>
      <c r="D138" s="1">
        <v>132841</v>
      </c>
      <c r="E138" s="3">
        <v>337022.25</v>
      </c>
      <c r="F138" s="1" t="s">
        <v>8</v>
      </c>
      <c r="G138" s="1" t="s">
        <v>169</v>
      </c>
      <c r="H138" s="3">
        <f>SUMIFS(Table1[Value],Table1[Outlets],G138)</f>
        <v>41996.82</v>
      </c>
      <c r="I138" s="1" t="str">
        <f>IFERROR(VLOOKUP(G138,Table1[[Outlets]:[Region]],2,0),"")</f>
        <v>Rift valley</v>
      </c>
      <c r="K138" s="1" t="b">
        <f t="shared" si="6"/>
        <v>0</v>
      </c>
      <c r="L138" s="1" t="str">
        <f>IF(K138=TRUE,ROWS($J$3:J138),"")</f>
        <v/>
      </c>
      <c r="M138" s="1" t="str">
        <f>IFERROR(SMALL($L$3:$L$228,ROWS($L$3:L138)),"")</f>
        <v/>
      </c>
      <c r="N138" s="1" t="str">
        <f>IF(M138&lt;&gt;"",INDEX($G$3:$I$228,MATCH($M138,$L$3:$L$228,0),COLUMNS($L$3:L138)),"")</f>
        <v/>
      </c>
      <c r="O138" s="3" t="str">
        <f>IF(N138&lt;&gt;"",INDEX($G$3:$I$228,MATCH($M138,$L$3:$L$228,0),COLUMNS($L$3:M138)),"")</f>
        <v/>
      </c>
      <c r="P138" s="1" t="str">
        <f>IF(O138&lt;&gt;"",INDEX($G$3:$I$228,MATCH($M138,$L$3:$L$228,0),COLUMNS($L$3:N138)),"")</f>
        <v/>
      </c>
      <c r="S138" s="1" t="b">
        <f t="shared" si="7"/>
        <v>0</v>
      </c>
      <c r="T138" s="1" t="str">
        <f>IF(S138=TRUE,ROWS($S$3:S138),"")</f>
        <v/>
      </c>
      <c r="U138" s="1" t="str">
        <f>IFERROR(SMALL($T$3:$T$228,ROWS($T$3:T138)),"")</f>
        <v/>
      </c>
      <c r="V138" s="1" t="str">
        <f>IF(U138&lt;&gt;"",INDEX($G$3:$I$228,MATCH($U138,$T$3:$T$228,0),COLUMNS($U$3:U138)),"")</f>
        <v/>
      </c>
      <c r="W138" s="1" t="str">
        <f>IF(V138&lt;&gt;"",INDEX($G$3:$I$228,MATCH($U138,$T$3:$T$228,0),COLUMNS($U$3:V138)),"")</f>
        <v/>
      </c>
      <c r="X138" s="1" t="str">
        <f>IF(W138&lt;&gt;"",INDEX($G$3:$I$228,MATCH($U138,$T$3:$T$228,0),COLUMNS($U$3:W138)),"")</f>
        <v/>
      </c>
      <c r="Z138" s="1" t="b">
        <f t="shared" si="8"/>
        <v>1</v>
      </c>
      <c r="AA138" s="1">
        <f>IF(Z138=TRUE,ROWS($Z$3:Z138),"")</f>
        <v>136</v>
      </c>
      <c r="AB138" s="1">
        <f>IFERROR(SMALL($AA$3:$AA$228,ROWS($AA$3:AA138)),"")</f>
        <v>136</v>
      </c>
      <c r="AC138" s="1" t="str">
        <f>IF(AB138&lt;&gt;"",INDEX($G$3:$I$228,MATCH($AB138,$AA$3:$AA$228,0),COLUMNS($AA$3:AA138)),"")</f>
        <v>Naivas Midtown</v>
      </c>
      <c r="AD138" s="1">
        <f>IF(AC138&lt;&gt;"",INDEX($G$3:$I$228,MATCH($AB138,$AA$3:$AA$228,0),COLUMNS($AA$3:AB138)),"")</f>
        <v>41996.82</v>
      </c>
      <c r="AE138" s="1" t="str">
        <f>IF(AD138&lt;&gt;"",INDEX($G$3:$I$228,MATCH($AB138,$AA$3:$AA$228,0),COLUMNS($AA$3:AC138)),"")</f>
        <v>Rift valley</v>
      </c>
    </row>
    <row r="139" spans="1:31" x14ac:dyDescent="0.2">
      <c r="A139" s="2">
        <v>44750</v>
      </c>
      <c r="B139" s="1" t="s">
        <v>140</v>
      </c>
      <c r="C139" s="1" t="s">
        <v>3</v>
      </c>
      <c r="D139" s="1">
        <v>132842</v>
      </c>
      <c r="E139" s="3">
        <v>25687.5</v>
      </c>
      <c r="F139" s="1" t="s">
        <v>8</v>
      </c>
      <c r="G139" s="1" t="s">
        <v>39</v>
      </c>
      <c r="H139" s="3">
        <f>SUMIFS(Table1[Value],Table1[Outlets],G139)</f>
        <v>41746.639999999999</v>
      </c>
      <c r="I139" s="1" t="str">
        <f>IFERROR(VLOOKUP(G139,Table1[[Outlets]:[Region]],2,0),"")</f>
        <v>Nairobi</v>
      </c>
      <c r="K139" s="1" t="b">
        <f t="shared" si="6"/>
        <v>0</v>
      </c>
      <c r="L139" s="1" t="str">
        <f>IF(K139=TRUE,ROWS($J$3:J139),"")</f>
        <v/>
      </c>
      <c r="M139" s="1" t="str">
        <f>IFERROR(SMALL($L$3:$L$228,ROWS($L$3:L139)),"")</f>
        <v/>
      </c>
      <c r="N139" s="1" t="str">
        <f>IF(M139&lt;&gt;"",INDEX($G$3:$I$228,MATCH($M139,$L$3:$L$228,0),COLUMNS($L$3:L139)),"")</f>
        <v/>
      </c>
      <c r="O139" s="3" t="str">
        <f>IF(N139&lt;&gt;"",INDEX($G$3:$I$228,MATCH($M139,$L$3:$L$228,0),COLUMNS($L$3:M139)),"")</f>
        <v/>
      </c>
      <c r="P139" s="1" t="str">
        <f>IF(O139&lt;&gt;"",INDEX($G$3:$I$228,MATCH($M139,$L$3:$L$228,0),COLUMNS($L$3:N139)),"")</f>
        <v/>
      </c>
      <c r="S139" s="1" t="b">
        <f t="shared" si="7"/>
        <v>0</v>
      </c>
      <c r="T139" s="1" t="str">
        <f>IF(S139=TRUE,ROWS($S$3:S139),"")</f>
        <v/>
      </c>
      <c r="U139" s="1" t="str">
        <f>IFERROR(SMALL($T$3:$T$228,ROWS($T$3:T139)),"")</f>
        <v/>
      </c>
      <c r="V139" s="1" t="str">
        <f>IF(U139&lt;&gt;"",INDEX($G$3:$I$228,MATCH($U139,$T$3:$T$228,0),COLUMNS($U$3:U139)),"")</f>
        <v/>
      </c>
      <c r="W139" s="1" t="str">
        <f>IF(V139&lt;&gt;"",INDEX($G$3:$I$228,MATCH($U139,$T$3:$T$228,0),COLUMNS($U$3:V139)),"")</f>
        <v/>
      </c>
      <c r="X139" s="1" t="str">
        <f>IF(W139&lt;&gt;"",INDEX($G$3:$I$228,MATCH($U139,$T$3:$T$228,0),COLUMNS($U$3:W139)),"")</f>
        <v/>
      </c>
      <c r="Z139" s="1" t="b">
        <f t="shared" si="8"/>
        <v>1</v>
      </c>
      <c r="AA139" s="1">
        <f>IF(Z139=TRUE,ROWS($Z$3:Z139),"")</f>
        <v>137</v>
      </c>
      <c r="AB139" s="1">
        <f>IFERROR(SMALL($AA$3:$AA$228,ROWS($AA$3:AA139)),"")</f>
        <v>137</v>
      </c>
      <c r="AC139" s="1" t="str">
        <f>IF(AB139&lt;&gt;"",INDEX($G$3:$I$228,MATCH($AB139,$AA$3:$AA$228,0),COLUMNS($AA$3:AA139)),"")</f>
        <v>Naivas South C</v>
      </c>
      <c r="AD139" s="1">
        <f>IF(AC139&lt;&gt;"",INDEX($G$3:$I$228,MATCH($AB139,$AA$3:$AA$228,0),COLUMNS($AA$3:AB139)),"")</f>
        <v>41746.639999999999</v>
      </c>
      <c r="AE139" s="1" t="str">
        <f>IF(AD139&lt;&gt;"",INDEX($G$3:$I$228,MATCH($AB139,$AA$3:$AA$228,0),COLUMNS($AA$3:AC139)),"")</f>
        <v>Nairobi</v>
      </c>
    </row>
    <row r="140" spans="1:31" x14ac:dyDescent="0.2">
      <c r="A140" s="2">
        <v>44750</v>
      </c>
      <c r="B140" s="1" t="s">
        <v>67</v>
      </c>
      <c r="C140" s="1" t="s">
        <v>3</v>
      </c>
      <c r="D140" s="1">
        <v>132843</v>
      </c>
      <c r="E140" s="3">
        <v>39469.99</v>
      </c>
      <c r="F140" s="1" t="s">
        <v>8</v>
      </c>
      <c r="G140" s="1" t="s">
        <v>174</v>
      </c>
      <c r="H140" s="3">
        <f>SUMIFS(Table1[Value],Table1[Outlets],G140)</f>
        <v>41699.31</v>
      </c>
      <c r="I140" s="1" t="str">
        <f>IFERROR(VLOOKUP(G140,Table1[[Outlets]:[Region]],2,0),"")</f>
        <v>Central</v>
      </c>
      <c r="K140" s="1" t="b">
        <f t="shared" si="6"/>
        <v>0</v>
      </c>
      <c r="L140" s="1" t="str">
        <f>IF(K140=TRUE,ROWS($J$3:J140),"")</f>
        <v/>
      </c>
      <c r="M140" s="1" t="str">
        <f>IFERROR(SMALL($L$3:$L$228,ROWS($L$3:L140)),"")</f>
        <v/>
      </c>
      <c r="N140" s="1" t="str">
        <f>IF(M140&lt;&gt;"",INDEX($G$3:$I$228,MATCH($M140,$L$3:$L$228,0),COLUMNS($L$3:L140)),"")</f>
        <v/>
      </c>
      <c r="O140" s="3" t="str">
        <f>IF(N140&lt;&gt;"",INDEX($G$3:$I$228,MATCH($M140,$L$3:$L$228,0),COLUMNS($L$3:M140)),"")</f>
        <v/>
      </c>
      <c r="P140" s="1" t="str">
        <f>IF(O140&lt;&gt;"",INDEX($G$3:$I$228,MATCH($M140,$L$3:$L$228,0),COLUMNS($L$3:N140)),"")</f>
        <v/>
      </c>
      <c r="S140" s="1" t="b">
        <f t="shared" si="7"/>
        <v>0</v>
      </c>
      <c r="T140" s="1" t="str">
        <f>IF(S140=TRUE,ROWS($S$3:S140),"")</f>
        <v/>
      </c>
      <c r="U140" s="1" t="str">
        <f>IFERROR(SMALL($T$3:$T$228,ROWS($T$3:T140)),"")</f>
        <v/>
      </c>
      <c r="V140" s="1" t="str">
        <f>IF(U140&lt;&gt;"",INDEX($G$3:$I$228,MATCH($U140,$T$3:$T$228,0),COLUMNS($U$3:U140)),"")</f>
        <v/>
      </c>
      <c r="W140" s="1" t="str">
        <f>IF(V140&lt;&gt;"",INDEX($G$3:$I$228,MATCH($U140,$T$3:$T$228,0),COLUMNS($U$3:V140)),"")</f>
        <v/>
      </c>
      <c r="X140" s="1" t="str">
        <f>IF(W140&lt;&gt;"",INDEX($G$3:$I$228,MATCH($U140,$T$3:$T$228,0),COLUMNS($U$3:W140)),"")</f>
        <v/>
      </c>
      <c r="Z140" s="1" t="b">
        <f t="shared" si="8"/>
        <v>1</v>
      </c>
      <c r="AA140" s="1">
        <f>IF(Z140=TRUE,ROWS($Z$3:Z140),"")</f>
        <v>138</v>
      </c>
      <c r="AB140" s="1">
        <f>IFERROR(SMALL($AA$3:$AA$228,ROWS($AA$3:AA140)),"")</f>
        <v>138</v>
      </c>
      <c r="AC140" s="1" t="str">
        <f>IF(AB140&lt;&gt;"",INDEX($G$3:$I$228,MATCH($AB140,$AA$3:$AA$228,0),COLUMNS($AA$3:AA140)),"")</f>
        <v>Naivas Embu</v>
      </c>
      <c r="AD140" s="1">
        <f>IF(AC140&lt;&gt;"",INDEX($G$3:$I$228,MATCH($AB140,$AA$3:$AA$228,0),COLUMNS($AA$3:AB140)),"")</f>
        <v>41699.31</v>
      </c>
      <c r="AE140" s="1" t="str">
        <f>IF(AD140&lt;&gt;"",INDEX($G$3:$I$228,MATCH($AB140,$AA$3:$AA$228,0),COLUMNS($AA$3:AC140)),"")</f>
        <v>Central</v>
      </c>
    </row>
    <row r="141" spans="1:31" x14ac:dyDescent="0.2">
      <c r="A141" s="2">
        <v>44750</v>
      </c>
      <c r="B141" s="1" t="s">
        <v>64</v>
      </c>
      <c r="C141" s="1" t="s">
        <v>3</v>
      </c>
      <c r="D141" s="1">
        <v>132844</v>
      </c>
      <c r="E141" s="3">
        <v>94729.94</v>
      </c>
      <c r="F141" s="1" t="s">
        <v>8</v>
      </c>
      <c r="G141" s="1" t="s">
        <v>162</v>
      </c>
      <c r="H141" s="3">
        <f>SUMIFS(Table1[Value],Table1[Outlets],G141)</f>
        <v>40968.959999999999</v>
      </c>
      <c r="I141" s="1" t="str">
        <f>IFERROR(VLOOKUP(G141,Table1[[Outlets]:[Region]],2,0),"")</f>
        <v>Eastern</v>
      </c>
      <c r="K141" s="1" t="b">
        <f t="shared" si="6"/>
        <v>0</v>
      </c>
      <c r="L141" s="1" t="str">
        <f>IF(K141=TRUE,ROWS($J$3:J141),"")</f>
        <v/>
      </c>
      <c r="M141" s="1" t="str">
        <f>IFERROR(SMALL($L$3:$L$228,ROWS($L$3:L141)),"")</f>
        <v/>
      </c>
      <c r="N141" s="1" t="str">
        <f>IF(M141&lt;&gt;"",INDEX($G$3:$I$228,MATCH($M141,$L$3:$L$228,0),COLUMNS($L$3:L141)),"")</f>
        <v/>
      </c>
      <c r="O141" s="3" t="str">
        <f>IF(N141&lt;&gt;"",INDEX($G$3:$I$228,MATCH($M141,$L$3:$L$228,0),COLUMNS($L$3:M141)),"")</f>
        <v/>
      </c>
      <c r="P141" s="1" t="str">
        <f>IF(O141&lt;&gt;"",INDEX($G$3:$I$228,MATCH($M141,$L$3:$L$228,0),COLUMNS($L$3:N141)),"")</f>
        <v/>
      </c>
      <c r="S141" s="1" t="b">
        <f t="shared" si="7"/>
        <v>0</v>
      </c>
      <c r="T141" s="1" t="str">
        <f>IF(S141=TRUE,ROWS($S$3:S141),"")</f>
        <v/>
      </c>
      <c r="U141" s="1" t="str">
        <f>IFERROR(SMALL($T$3:$T$228,ROWS($T$3:T141)),"")</f>
        <v/>
      </c>
      <c r="V141" s="1" t="str">
        <f>IF(U141&lt;&gt;"",INDEX($G$3:$I$228,MATCH($U141,$T$3:$T$228,0),COLUMNS($U$3:U141)),"")</f>
        <v/>
      </c>
      <c r="W141" s="1" t="str">
        <f>IF(V141&lt;&gt;"",INDEX($G$3:$I$228,MATCH($U141,$T$3:$T$228,0),COLUMNS($U$3:V141)),"")</f>
        <v/>
      </c>
      <c r="X141" s="1" t="str">
        <f>IF(W141&lt;&gt;"",INDEX($G$3:$I$228,MATCH($U141,$T$3:$T$228,0),COLUMNS($U$3:W141)),"")</f>
        <v/>
      </c>
      <c r="Z141" s="1" t="b">
        <f t="shared" si="8"/>
        <v>1</v>
      </c>
      <c r="AA141" s="1">
        <f>IF(Z141=TRUE,ROWS($Z$3:Z141),"")</f>
        <v>139</v>
      </c>
      <c r="AB141" s="1">
        <f>IFERROR(SMALL($AA$3:$AA$228,ROWS($AA$3:AA141)),"")</f>
        <v>139</v>
      </c>
      <c r="AC141" s="1" t="str">
        <f>IF(AB141&lt;&gt;"",INDEX($G$3:$I$228,MATCH($AB141,$AA$3:$AA$228,0),COLUMNS($AA$3:AA141)),"")</f>
        <v>Quickmart Machakos Express</v>
      </c>
      <c r="AD141" s="1">
        <f>IF(AC141&lt;&gt;"",INDEX($G$3:$I$228,MATCH($AB141,$AA$3:$AA$228,0),COLUMNS($AA$3:AB141)),"")</f>
        <v>40968.959999999999</v>
      </c>
      <c r="AE141" s="1" t="str">
        <f>IF(AD141&lt;&gt;"",INDEX($G$3:$I$228,MATCH($AB141,$AA$3:$AA$228,0),COLUMNS($AA$3:AC141)),"")</f>
        <v>Eastern</v>
      </c>
    </row>
    <row r="142" spans="1:31" x14ac:dyDescent="0.2">
      <c r="A142" s="2">
        <v>44750</v>
      </c>
      <c r="B142" s="1" t="s">
        <v>66</v>
      </c>
      <c r="C142" s="1" t="s">
        <v>3</v>
      </c>
      <c r="D142" s="1">
        <v>132846</v>
      </c>
      <c r="E142" s="3">
        <v>21762</v>
      </c>
      <c r="F142" s="1" t="s">
        <v>8</v>
      </c>
      <c r="G142" s="1" t="s">
        <v>130</v>
      </c>
      <c r="H142" s="3">
        <f>SUMIFS(Table1[Value],Table1[Outlets],G142)</f>
        <v>40744.39</v>
      </c>
      <c r="I142" s="1" t="str">
        <f>IFERROR(VLOOKUP(G142,Table1[[Outlets]:[Region]],2,0),"")</f>
        <v>Nairobi</v>
      </c>
      <c r="K142" s="1" t="b">
        <f t="shared" si="6"/>
        <v>0</v>
      </c>
      <c r="L142" s="1" t="str">
        <f>IF(K142=TRUE,ROWS($J$3:J142),"")</f>
        <v/>
      </c>
      <c r="M142" s="1" t="str">
        <f>IFERROR(SMALL($L$3:$L$228,ROWS($L$3:L142)),"")</f>
        <v/>
      </c>
      <c r="N142" s="1" t="str">
        <f>IF(M142&lt;&gt;"",INDEX($G$3:$I$228,MATCH($M142,$L$3:$L$228,0),COLUMNS($L$3:L142)),"")</f>
        <v/>
      </c>
      <c r="O142" s="3" t="str">
        <f>IF(N142&lt;&gt;"",INDEX($G$3:$I$228,MATCH($M142,$L$3:$L$228,0),COLUMNS($L$3:M142)),"")</f>
        <v/>
      </c>
      <c r="P142" s="1" t="str">
        <f>IF(O142&lt;&gt;"",INDEX($G$3:$I$228,MATCH($M142,$L$3:$L$228,0),COLUMNS($L$3:N142)),"")</f>
        <v/>
      </c>
      <c r="S142" s="1" t="b">
        <f t="shared" si="7"/>
        <v>0</v>
      </c>
      <c r="T142" s="1" t="str">
        <f>IF(S142=TRUE,ROWS($S$3:S142),"")</f>
        <v/>
      </c>
      <c r="U142" s="1" t="str">
        <f>IFERROR(SMALL($T$3:$T$228,ROWS($T$3:T142)),"")</f>
        <v/>
      </c>
      <c r="V142" s="1" t="str">
        <f>IF(U142&lt;&gt;"",INDEX($G$3:$I$228,MATCH($U142,$T$3:$T$228,0),COLUMNS($U$3:U142)),"")</f>
        <v/>
      </c>
      <c r="W142" s="1" t="str">
        <f>IF(V142&lt;&gt;"",INDEX($G$3:$I$228,MATCH($U142,$T$3:$T$228,0),COLUMNS($U$3:V142)),"")</f>
        <v/>
      </c>
      <c r="X142" s="1" t="str">
        <f>IF(W142&lt;&gt;"",INDEX($G$3:$I$228,MATCH($U142,$T$3:$T$228,0),COLUMNS($U$3:W142)),"")</f>
        <v/>
      </c>
      <c r="Z142" s="1" t="b">
        <f t="shared" si="8"/>
        <v>1</v>
      </c>
      <c r="AA142" s="1">
        <f>IF(Z142=TRUE,ROWS($Z$3:Z142),"")</f>
        <v>140</v>
      </c>
      <c r="AB142" s="1">
        <f>IFERROR(SMALL($AA$3:$AA$228,ROWS($AA$3:AA142)),"")</f>
        <v>140</v>
      </c>
      <c r="AC142" s="1" t="str">
        <f>IF(AB142&lt;&gt;"",INDEX($G$3:$I$228,MATCH($AB142,$AA$3:$AA$228,0),COLUMNS($AA$3:AA142)),"")</f>
        <v>Quickmart Easternbypass 1</v>
      </c>
      <c r="AD142" s="1">
        <f>IF(AC142&lt;&gt;"",INDEX($G$3:$I$228,MATCH($AB142,$AA$3:$AA$228,0),COLUMNS($AA$3:AB142)),"")</f>
        <v>40744.39</v>
      </c>
      <c r="AE142" s="1" t="str">
        <f>IF(AD142&lt;&gt;"",INDEX($G$3:$I$228,MATCH($AB142,$AA$3:$AA$228,0),COLUMNS($AA$3:AC142)),"")</f>
        <v>Nairobi</v>
      </c>
    </row>
    <row r="143" spans="1:31" x14ac:dyDescent="0.2">
      <c r="A143" s="2">
        <v>44750</v>
      </c>
      <c r="B143" s="1" t="s">
        <v>141</v>
      </c>
      <c r="C143" s="1" t="s">
        <v>3</v>
      </c>
      <c r="D143" s="1">
        <v>132847</v>
      </c>
      <c r="E143" s="3">
        <v>11385.78</v>
      </c>
      <c r="F143" s="1" t="s">
        <v>11</v>
      </c>
      <c r="G143" s="1" t="s">
        <v>45</v>
      </c>
      <c r="H143" s="3">
        <f>SUMIFS(Table1[Value],Table1[Outlets],G143)</f>
        <v>39613.96</v>
      </c>
      <c r="I143" s="1" t="str">
        <f>IFERROR(VLOOKUP(G143,Table1[[Outlets]:[Region]],2,0),"")</f>
        <v>Nairobi</v>
      </c>
      <c r="K143" s="1" t="b">
        <f t="shared" si="6"/>
        <v>0</v>
      </c>
      <c r="L143" s="1" t="str">
        <f>IF(K143=TRUE,ROWS($J$3:J143),"")</f>
        <v/>
      </c>
      <c r="M143" s="1" t="str">
        <f>IFERROR(SMALL($L$3:$L$228,ROWS($L$3:L143)),"")</f>
        <v/>
      </c>
      <c r="N143" s="1" t="str">
        <f>IF(M143&lt;&gt;"",INDEX($G$3:$I$228,MATCH($M143,$L$3:$L$228,0),COLUMNS($L$3:L143)),"")</f>
        <v/>
      </c>
      <c r="O143" s="3" t="str">
        <f>IF(N143&lt;&gt;"",INDEX($G$3:$I$228,MATCH($M143,$L$3:$L$228,0),COLUMNS($L$3:M143)),"")</f>
        <v/>
      </c>
      <c r="P143" s="1" t="str">
        <f>IF(O143&lt;&gt;"",INDEX($G$3:$I$228,MATCH($M143,$L$3:$L$228,0),COLUMNS($L$3:N143)),"")</f>
        <v/>
      </c>
      <c r="S143" s="1" t="b">
        <f t="shared" si="7"/>
        <v>0</v>
      </c>
      <c r="T143" s="1" t="str">
        <f>IF(S143=TRUE,ROWS($S$3:S143),"")</f>
        <v/>
      </c>
      <c r="U143" s="1" t="str">
        <f>IFERROR(SMALL($T$3:$T$228,ROWS($T$3:T143)),"")</f>
        <v/>
      </c>
      <c r="V143" s="1" t="str">
        <f>IF(U143&lt;&gt;"",INDEX($G$3:$I$228,MATCH($U143,$T$3:$T$228,0),COLUMNS($U$3:U143)),"")</f>
        <v/>
      </c>
      <c r="W143" s="1" t="str">
        <f>IF(V143&lt;&gt;"",INDEX($G$3:$I$228,MATCH($U143,$T$3:$T$228,0),COLUMNS($U$3:V143)),"")</f>
        <v/>
      </c>
      <c r="X143" s="1" t="str">
        <f>IF(W143&lt;&gt;"",INDEX($G$3:$I$228,MATCH($U143,$T$3:$T$228,0),COLUMNS($U$3:W143)),"")</f>
        <v/>
      </c>
      <c r="Z143" s="1" t="b">
        <f t="shared" si="8"/>
        <v>1</v>
      </c>
      <c r="AA143" s="1">
        <f>IF(Z143=TRUE,ROWS($Z$3:Z143),"")</f>
        <v>141</v>
      </c>
      <c r="AB143" s="1">
        <f>IFERROR(SMALL($AA$3:$AA$228,ROWS($AA$3:AA143)),"")</f>
        <v>141</v>
      </c>
      <c r="AC143" s="1" t="str">
        <f>IF(AB143&lt;&gt;"",INDEX($G$3:$I$228,MATCH($AB143,$AA$3:$AA$228,0),COLUMNS($AA$3:AA143)),"")</f>
        <v>Quickmart Roysambu</v>
      </c>
      <c r="AD143" s="1">
        <f>IF(AC143&lt;&gt;"",INDEX($G$3:$I$228,MATCH($AB143,$AA$3:$AA$228,0),COLUMNS($AA$3:AB143)),"")</f>
        <v>39613.96</v>
      </c>
      <c r="AE143" s="1" t="str">
        <f>IF(AD143&lt;&gt;"",INDEX($G$3:$I$228,MATCH($AB143,$AA$3:$AA$228,0),COLUMNS($AA$3:AC143)),"")</f>
        <v>Nairobi</v>
      </c>
    </row>
    <row r="144" spans="1:31" x14ac:dyDescent="0.2">
      <c r="A144" s="2">
        <v>44750</v>
      </c>
      <c r="B144" s="1" t="s">
        <v>142</v>
      </c>
      <c r="C144" s="1" t="s">
        <v>3</v>
      </c>
      <c r="D144" s="1">
        <v>132848</v>
      </c>
      <c r="E144" s="3">
        <v>28099.54</v>
      </c>
      <c r="F144" s="1" t="s">
        <v>11</v>
      </c>
      <c r="G144" s="1" t="s">
        <v>197</v>
      </c>
      <c r="H144" s="3">
        <f>SUMIFS(Table1[Value],Table1[Outlets],G144)</f>
        <v>37574.99</v>
      </c>
      <c r="I144" s="1" t="str">
        <f>IFERROR(VLOOKUP(G144,Table1[[Outlets]:[Region]],2,0),"")</f>
        <v>Nairobi</v>
      </c>
      <c r="K144" s="1" t="b">
        <f t="shared" si="6"/>
        <v>0</v>
      </c>
      <c r="L144" s="1" t="str">
        <f>IF(K144=TRUE,ROWS($J$3:J144),"")</f>
        <v/>
      </c>
      <c r="M144" s="1" t="str">
        <f>IFERROR(SMALL($L$3:$L$228,ROWS($L$3:L144)),"")</f>
        <v/>
      </c>
      <c r="N144" s="1" t="str">
        <f>IF(M144&lt;&gt;"",INDEX($G$3:$I$228,MATCH($M144,$L$3:$L$228,0),COLUMNS($L$3:L144)),"")</f>
        <v/>
      </c>
      <c r="O144" s="3" t="str">
        <f>IF(N144&lt;&gt;"",INDEX($G$3:$I$228,MATCH($M144,$L$3:$L$228,0),COLUMNS($L$3:M144)),"")</f>
        <v/>
      </c>
      <c r="P144" s="1" t="str">
        <f>IF(O144&lt;&gt;"",INDEX($G$3:$I$228,MATCH($M144,$L$3:$L$228,0),COLUMNS($L$3:N144)),"")</f>
        <v/>
      </c>
      <c r="S144" s="1" t="b">
        <f t="shared" si="7"/>
        <v>0</v>
      </c>
      <c r="T144" s="1" t="str">
        <f>IF(S144=TRUE,ROWS($S$3:S144),"")</f>
        <v/>
      </c>
      <c r="U144" s="1" t="str">
        <f>IFERROR(SMALL($T$3:$T$228,ROWS($T$3:T144)),"")</f>
        <v/>
      </c>
      <c r="V144" s="1" t="str">
        <f>IF(U144&lt;&gt;"",INDEX($G$3:$I$228,MATCH($U144,$T$3:$T$228,0),COLUMNS($U$3:U144)),"")</f>
        <v/>
      </c>
      <c r="W144" s="1" t="str">
        <f>IF(V144&lt;&gt;"",INDEX($G$3:$I$228,MATCH($U144,$T$3:$T$228,0),COLUMNS($U$3:V144)),"")</f>
        <v/>
      </c>
      <c r="X144" s="1" t="str">
        <f>IF(W144&lt;&gt;"",INDEX($G$3:$I$228,MATCH($U144,$T$3:$T$228,0),COLUMNS($U$3:W144)),"")</f>
        <v/>
      </c>
      <c r="Z144" s="1" t="b">
        <f t="shared" si="8"/>
        <v>1</v>
      </c>
      <c r="AA144" s="1">
        <f>IF(Z144=TRUE,ROWS($Z$3:Z144),"")</f>
        <v>142</v>
      </c>
      <c r="AB144" s="1">
        <f>IFERROR(SMALL($AA$3:$AA$228,ROWS($AA$3:AA144)),"")</f>
        <v>142</v>
      </c>
      <c r="AC144" s="1" t="str">
        <f>IF(AB144&lt;&gt;"",INDEX($G$3:$I$228,MATCH($AB144,$AA$3:$AA$228,0),COLUMNS($AA$3:AA144)),"")</f>
        <v>Quickmart Kikuyu</v>
      </c>
      <c r="AD144" s="1">
        <f>IF(AC144&lt;&gt;"",INDEX($G$3:$I$228,MATCH($AB144,$AA$3:$AA$228,0),COLUMNS($AA$3:AB144)),"")</f>
        <v>37574.99</v>
      </c>
      <c r="AE144" s="1" t="str">
        <f>IF(AD144&lt;&gt;"",INDEX($G$3:$I$228,MATCH($AB144,$AA$3:$AA$228,0),COLUMNS($AA$3:AC144)),"")</f>
        <v>Nairobi</v>
      </c>
    </row>
    <row r="145" spans="1:31" x14ac:dyDescent="0.2">
      <c r="A145" s="2">
        <v>44750</v>
      </c>
      <c r="B145" s="1" t="s">
        <v>143</v>
      </c>
      <c r="C145" s="1" t="s">
        <v>3</v>
      </c>
      <c r="D145" s="1">
        <v>132849</v>
      </c>
      <c r="E145" s="3">
        <v>32549.05</v>
      </c>
      <c r="F145" s="1" t="s">
        <v>6</v>
      </c>
      <c r="G145" s="1" t="s">
        <v>62</v>
      </c>
      <c r="H145" s="3">
        <f>SUMIFS(Table1[Value],Table1[Outlets],G145)</f>
        <v>37446.28</v>
      </c>
      <c r="I145" s="1" t="str">
        <f>IFERROR(VLOOKUP(G145,Table1[[Outlets]:[Region]],2,0),"")</f>
        <v>Rift valley</v>
      </c>
      <c r="K145" s="1" t="b">
        <f t="shared" si="6"/>
        <v>1</v>
      </c>
      <c r="L145" s="1">
        <f>IF(K145=TRUE,ROWS($J$3:J145),"")</f>
        <v>143</v>
      </c>
      <c r="M145" s="1" t="str">
        <f>IFERROR(SMALL($L$3:$L$228,ROWS($L$3:L145)),"")</f>
        <v/>
      </c>
      <c r="N145" s="1" t="str">
        <f>IF(M145&lt;&gt;"",INDEX($G$3:$I$228,MATCH($M145,$L$3:$L$228,0),COLUMNS($L$3:L145)),"")</f>
        <v/>
      </c>
      <c r="O145" s="3" t="str">
        <f>IF(N145&lt;&gt;"",INDEX($G$3:$I$228,MATCH($M145,$L$3:$L$228,0),COLUMNS($L$3:M145)),"")</f>
        <v/>
      </c>
      <c r="P145" s="1" t="str">
        <f>IF(O145&lt;&gt;"",INDEX($G$3:$I$228,MATCH($M145,$L$3:$L$228,0),COLUMNS($L$3:N145)),"")</f>
        <v/>
      </c>
      <c r="S145" s="1" t="b">
        <f t="shared" si="7"/>
        <v>0</v>
      </c>
      <c r="T145" s="1" t="str">
        <f>IF(S145=TRUE,ROWS($S$3:S145),"")</f>
        <v/>
      </c>
      <c r="U145" s="1" t="str">
        <f>IFERROR(SMALL($T$3:$T$228,ROWS($T$3:T145)),"")</f>
        <v/>
      </c>
      <c r="V145" s="1" t="str">
        <f>IF(U145&lt;&gt;"",INDEX($G$3:$I$228,MATCH($U145,$T$3:$T$228,0),COLUMNS($U$3:U145)),"")</f>
        <v/>
      </c>
      <c r="W145" s="1" t="str">
        <f>IF(V145&lt;&gt;"",INDEX($G$3:$I$228,MATCH($U145,$T$3:$T$228,0),COLUMNS($U$3:V145)),"")</f>
        <v/>
      </c>
      <c r="X145" s="1" t="str">
        <f>IF(W145&lt;&gt;"",INDEX($G$3:$I$228,MATCH($U145,$T$3:$T$228,0),COLUMNS($U$3:W145)),"")</f>
        <v/>
      </c>
      <c r="Z145" s="1" t="b">
        <f t="shared" si="8"/>
        <v>1</v>
      </c>
      <c r="AA145" s="1">
        <f>IF(Z145=TRUE,ROWS($Z$3:Z145),"")</f>
        <v>143</v>
      </c>
      <c r="AB145" s="1">
        <f>IFERROR(SMALL($AA$3:$AA$228,ROWS($AA$3:AA145)),"")</f>
        <v>143</v>
      </c>
      <c r="AC145" s="1" t="str">
        <f>IF(AB145&lt;&gt;"",INDEX($G$3:$I$228,MATCH($AB145,$AA$3:$AA$228,0),COLUMNS($AA$3:AA145)),"")</f>
        <v>Chandarana Nakuru</v>
      </c>
      <c r="AD145" s="1">
        <f>IF(AC145&lt;&gt;"",INDEX($G$3:$I$228,MATCH($AB145,$AA$3:$AA$228,0),COLUMNS($AA$3:AB145)),"")</f>
        <v>37446.28</v>
      </c>
      <c r="AE145" s="1" t="str">
        <f>IF(AD145&lt;&gt;"",INDEX($G$3:$I$228,MATCH($AB145,$AA$3:$AA$228,0),COLUMNS($AA$3:AC145)),"")</f>
        <v>Rift valley</v>
      </c>
    </row>
    <row r="146" spans="1:31" x14ac:dyDescent="0.2">
      <c r="A146" s="2">
        <v>44750</v>
      </c>
      <c r="B146" s="1" t="s">
        <v>144</v>
      </c>
      <c r="C146" s="1" t="s">
        <v>3</v>
      </c>
      <c r="D146" s="1">
        <v>132857</v>
      </c>
      <c r="E146" s="3">
        <v>4023.97</v>
      </c>
      <c r="F146" s="1" t="s">
        <v>5</v>
      </c>
      <c r="G146" s="1" t="s">
        <v>74</v>
      </c>
      <c r="H146" s="3">
        <f>SUMIFS(Table1[Value],Table1[Outlets],G146)</f>
        <v>37031.21</v>
      </c>
      <c r="I146" s="1" t="str">
        <f>IFERROR(VLOOKUP(G146,Table1[[Outlets]:[Region]],2,0),"")</f>
        <v>Nairobi</v>
      </c>
      <c r="K146" s="1" t="b">
        <f t="shared" si="6"/>
        <v>0</v>
      </c>
      <c r="L146" s="1" t="str">
        <f>IF(K146=TRUE,ROWS($J$3:J146),"")</f>
        <v/>
      </c>
      <c r="M146" s="1" t="str">
        <f>IFERROR(SMALL($L$3:$L$228,ROWS($L$3:L146)),"")</f>
        <v/>
      </c>
      <c r="N146" s="1" t="str">
        <f>IF(M146&lt;&gt;"",INDEX($G$3:$I$228,MATCH($M146,$L$3:$L$228,0),COLUMNS($L$3:L146)),"")</f>
        <v/>
      </c>
      <c r="O146" s="3" t="str">
        <f>IF(N146&lt;&gt;"",INDEX($G$3:$I$228,MATCH($M146,$L$3:$L$228,0),COLUMNS($L$3:M146)),"")</f>
        <v/>
      </c>
      <c r="P146" s="1" t="str">
        <f>IF(O146&lt;&gt;"",INDEX($G$3:$I$228,MATCH($M146,$L$3:$L$228,0),COLUMNS($L$3:N146)),"")</f>
        <v/>
      </c>
      <c r="S146" s="1" t="b">
        <f t="shared" si="7"/>
        <v>0</v>
      </c>
      <c r="T146" s="1" t="str">
        <f>IF(S146=TRUE,ROWS($S$3:S146),"")</f>
        <v/>
      </c>
      <c r="U146" s="1" t="str">
        <f>IFERROR(SMALL($T$3:$T$228,ROWS($T$3:T146)),"")</f>
        <v/>
      </c>
      <c r="V146" s="1" t="str">
        <f>IF(U146&lt;&gt;"",INDEX($G$3:$I$228,MATCH($U146,$T$3:$T$228,0),COLUMNS($U$3:U146)),"")</f>
        <v/>
      </c>
      <c r="W146" s="1" t="str">
        <f>IF(V146&lt;&gt;"",INDEX($G$3:$I$228,MATCH($U146,$T$3:$T$228,0),COLUMNS($U$3:V146)),"")</f>
        <v/>
      </c>
      <c r="X146" s="1" t="str">
        <f>IF(W146&lt;&gt;"",INDEX($G$3:$I$228,MATCH($U146,$T$3:$T$228,0),COLUMNS($U$3:W146)),"")</f>
        <v/>
      </c>
      <c r="Z146" s="1" t="b">
        <f t="shared" si="8"/>
        <v>1</v>
      </c>
      <c r="AA146" s="1">
        <f>IF(Z146=TRUE,ROWS($Z$3:Z146),"")</f>
        <v>144</v>
      </c>
      <c r="AB146" s="1">
        <f>IFERROR(SMALL($AA$3:$AA$228,ROWS($AA$3:AA146)),"")</f>
        <v>144</v>
      </c>
      <c r="AC146" s="1" t="str">
        <f>IF(AB146&lt;&gt;"",INDEX($G$3:$I$228,MATCH($AB146,$AA$3:$AA$228,0),COLUMNS($AA$3:AA146)),"")</f>
        <v>Powerstar Hyper</v>
      </c>
      <c r="AD146" s="1">
        <f>IF(AC146&lt;&gt;"",INDEX($G$3:$I$228,MATCH($AB146,$AA$3:$AA$228,0),COLUMNS($AA$3:AB146)),"")</f>
        <v>37031.21</v>
      </c>
      <c r="AE146" s="1" t="str">
        <f>IF(AD146&lt;&gt;"",INDEX($G$3:$I$228,MATCH($AB146,$AA$3:$AA$228,0),COLUMNS($AA$3:AC146)),"")</f>
        <v>Nairobi</v>
      </c>
    </row>
    <row r="147" spans="1:31" x14ac:dyDescent="0.2">
      <c r="A147" s="2">
        <v>44750</v>
      </c>
      <c r="B147" s="1" t="s">
        <v>145</v>
      </c>
      <c r="C147" s="1" t="s">
        <v>3</v>
      </c>
      <c r="D147" s="1">
        <v>132858</v>
      </c>
      <c r="E147" s="3">
        <v>10823.27</v>
      </c>
      <c r="F147" s="1" t="s">
        <v>11</v>
      </c>
      <c r="G147" s="1" t="s">
        <v>234</v>
      </c>
      <c r="H147" s="3">
        <f>SUMIFS(Table1[Value],Table1[Outlets],G147)</f>
        <v>36668.04</v>
      </c>
      <c r="I147" s="1" t="str">
        <f>IFERROR(VLOOKUP(G147,Table1[[Outlets]:[Region]],2,0),"")</f>
        <v>Nairobi</v>
      </c>
      <c r="K147" s="1" t="b">
        <f t="shared" si="6"/>
        <v>0</v>
      </c>
      <c r="L147" s="1" t="str">
        <f>IF(K147=TRUE,ROWS($J$3:J147),"")</f>
        <v/>
      </c>
      <c r="M147" s="1" t="str">
        <f>IFERROR(SMALL($L$3:$L$228,ROWS($L$3:L147)),"")</f>
        <v/>
      </c>
      <c r="N147" s="1" t="str">
        <f>IF(M147&lt;&gt;"",INDEX($G$3:$I$228,MATCH($M147,$L$3:$L$228,0),COLUMNS($L$3:L147)),"")</f>
        <v/>
      </c>
      <c r="O147" s="3" t="str">
        <f>IF(N147&lt;&gt;"",INDEX($G$3:$I$228,MATCH($M147,$L$3:$L$228,0),COLUMNS($L$3:M147)),"")</f>
        <v/>
      </c>
      <c r="P147" s="1" t="str">
        <f>IF(O147&lt;&gt;"",INDEX($G$3:$I$228,MATCH($M147,$L$3:$L$228,0),COLUMNS($L$3:N147)),"")</f>
        <v/>
      </c>
      <c r="S147" s="1" t="b">
        <f t="shared" si="7"/>
        <v>0</v>
      </c>
      <c r="T147" s="1" t="str">
        <f>IF(S147=TRUE,ROWS($S$3:S147),"")</f>
        <v/>
      </c>
      <c r="U147" s="1" t="str">
        <f>IFERROR(SMALL($T$3:$T$228,ROWS($T$3:T147)),"")</f>
        <v/>
      </c>
      <c r="V147" s="1" t="str">
        <f>IF(U147&lt;&gt;"",INDEX($G$3:$I$228,MATCH($U147,$T$3:$T$228,0),COLUMNS($U$3:U147)),"")</f>
        <v/>
      </c>
      <c r="W147" s="1" t="str">
        <f>IF(V147&lt;&gt;"",INDEX($G$3:$I$228,MATCH($U147,$T$3:$T$228,0),COLUMNS($U$3:V147)),"")</f>
        <v/>
      </c>
      <c r="X147" s="1" t="str">
        <f>IF(W147&lt;&gt;"",INDEX($G$3:$I$228,MATCH($U147,$T$3:$T$228,0),COLUMNS($U$3:W147)),"")</f>
        <v/>
      </c>
      <c r="Z147" s="1" t="b">
        <f t="shared" si="8"/>
        <v>1</v>
      </c>
      <c r="AA147" s="1">
        <f>IF(Z147=TRUE,ROWS($Z$3:Z147),"")</f>
        <v>145</v>
      </c>
      <c r="AB147" s="1">
        <f>IFERROR(SMALL($AA$3:$AA$228,ROWS($AA$3:AA147)),"")</f>
        <v>145</v>
      </c>
      <c r="AC147" s="1" t="str">
        <f>IF(AB147&lt;&gt;"",INDEX($G$3:$I$228,MATCH($AB147,$AA$3:$AA$228,0),COLUMNS($AA$3:AA147)),"")</f>
        <v>Powerstar Kitengela</v>
      </c>
      <c r="AD147" s="1">
        <f>IF(AC147&lt;&gt;"",INDEX($G$3:$I$228,MATCH($AB147,$AA$3:$AA$228,0),COLUMNS($AA$3:AB147)),"")</f>
        <v>36668.04</v>
      </c>
      <c r="AE147" s="1" t="str">
        <f>IF(AD147&lt;&gt;"",INDEX($G$3:$I$228,MATCH($AB147,$AA$3:$AA$228,0),COLUMNS($AA$3:AC147)),"")</f>
        <v>Nairobi</v>
      </c>
    </row>
    <row r="148" spans="1:31" x14ac:dyDescent="0.2">
      <c r="A148" s="2">
        <v>44750</v>
      </c>
      <c r="B148" s="1" t="s">
        <v>146</v>
      </c>
      <c r="C148" s="1" t="s">
        <v>3</v>
      </c>
      <c r="D148" s="1">
        <v>132862</v>
      </c>
      <c r="E148" s="3">
        <v>6633.63</v>
      </c>
      <c r="F148" s="1" t="s">
        <v>11</v>
      </c>
      <c r="G148" s="1" t="s">
        <v>117</v>
      </c>
      <c r="H148" s="3">
        <f>SUMIFS(Table1[Value],Table1[Outlets],G148)</f>
        <v>35913.68</v>
      </c>
      <c r="I148" s="1" t="str">
        <f>IFERROR(VLOOKUP(G148,Table1[[Outlets]:[Region]],2,0),"")</f>
        <v>Nyanza</v>
      </c>
      <c r="K148" s="1" t="b">
        <f t="shared" si="6"/>
        <v>0</v>
      </c>
      <c r="L148" s="1" t="str">
        <f>IF(K148=TRUE,ROWS($J$3:J148),"")</f>
        <v/>
      </c>
      <c r="M148" s="1" t="str">
        <f>IFERROR(SMALL($L$3:$L$228,ROWS($L$3:L148)),"")</f>
        <v/>
      </c>
      <c r="N148" s="1" t="str">
        <f>IF(M148&lt;&gt;"",INDEX($G$3:$I$228,MATCH($M148,$L$3:$L$228,0),COLUMNS($L$3:L148)),"")</f>
        <v/>
      </c>
      <c r="O148" s="3" t="str">
        <f>IF(N148&lt;&gt;"",INDEX($G$3:$I$228,MATCH($M148,$L$3:$L$228,0),COLUMNS($L$3:M148)),"")</f>
        <v/>
      </c>
      <c r="P148" s="1" t="str">
        <f>IF(O148&lt;&gt;"",INDEX($G$3:$I$228,MATCH($M148,$L$3:$L$228,0),COLUMNS($L$3:N148)),"")</f>
        <v/>
      </c>
      <c r="S148" s="1" t="b">
        <f t="shared" si="7"/>
        <v>0</v>
      </c>
      <c r="T148" s="1" t="str">
        <f>IF(S148=TRUE,ROWS($S$3:S148),"")</f>
        <v/>
      </c>
      <c r="U148" s="1" t="str">
        <f>IFERROR(SMALL($T$3:$T$228,ROWS($T$3:T148)),"")</f>
        <v/>
      </c>
      <c r="V148" s="1" t="str">
        <f>IF(U148&lt;&gt;"",INDEX($G$3:$I$228,MATCH($U148,$T$3:$T$228,0),COLUMNS($U$3:U148)),"")</f>
        <v/>
      </c>
      <c r="W148" s="1" t="str">
        <f>IF(V148&lt;&gt;"",INDEX($G$3:$I$228,MATCH($U148,$T$3:$T$228,0),COLUMNS($U$3:V148)),"")</f>
        <v/>
      </c>
      <c r="X148" s="1" t="str">
        <f>IF(W148&lt;&gt;"",INDEX($G$3:$I$228,MATCH($U148,$T$3:$T$228,0),COLUMNS($U$3:W148)),"")</f>
        <v/>
      </c>
      <c r="Z148" s="1" t="b">
        <f t="shared" si="8"/>
        <v>1</v>
      </c>
      <c r="AA148" s="1">
        <f>IF(Z148=TRUE,ROWS($Z$3:Z148),"")</f>
        <v>146</v>
      </c>
      <c r="AB148" s="1">
        <f>IFERROR(SMALL($AA$3:$AA$228,ROWS($AA$3:AA148)),"")</f>
        <v>146</v>
      </c>
      <c r="AC148" s="1" t="str">
        <f>IF(AB148&lt;&gt;"",INDEX($G$3:$I$228,MATCH($AB148,$AA$3:$AA$228,0),COLUMNS($AA$3:AA148)),"")</f>
        <v>Quickmart Kondele</v>
      </c>
      <c r="AD148" s="1">
        <f>IF(AC148&lt;&gt;"",INDEX($G$3:$I$228,MATCH($AB148,$AA$3:$AA$228,0),COLUMNS($AA$3:AB148)),"")</f>
        <v>35913.68</v>
      </c>
      <c r="AE148" s="1" t="str">
        <f>IF(AD148&lt;&gt;"",INDEX($G$3:$I$228,MATCH($AB148,$AA$3:$AA$228,0),COLUMNS($AA$3:AC148)),"")</f>
        <v>Nyanza</v>
      </c>
    </row>
    <row r="149" spans="1:31" x14ac:dyDescent="0.2">
      <c r="A149" s="2">
        <v>44750</v>
      </c>
      <c r="B149" s="1" t="s">
        <v>147</v>
      </c>
      <c r="C149" s="1" t="s">
        <v>251</v>
      </c>
      <c r="D149" s="1">
        <v>132874</v>
      </c>
      <c r="E149" s="3">
        <v>136008.06</v>
      </c>
      <c r="F149" s="1" t="s">
        <v>11</v>
      </c>
      <c r="G149" s="1" t="s">
        <v>116</v>
      </c>
      <c r="H149" s="3">
        <f>SUMIFS(Table1[Value],Table1[Outlets],G149)</f>
        <v>35594.94</v>
      </c>
      <c r="I149" s="1" t="str">
        <f>IFERROR(VLOOKUP(G149,Table1[[Outlets]:[Region]],2,0),"")</f>
        <v>Nairobi</v>
      </c>
      <c r="K149" s="1" t="b">
        <f t="shared" si="6"/>
        <v>0</v>
      </c>
      <c r="L149" s="1" t="str">
        <f>IF(K149=TRUE,ROWS($J$3:J149),"")</f>
        <v/>
      </c>
      <c r="M149" s="1" t="str">
        <f>IFERROR(SMALL($L$3:$L$228,ROWS($L$3:L149)),"")</f>
        <v/>
      </c>
      <c r="N149" s="1" t="str">
        <f>IF(M149&lt;&gt;"",INDEX($G$3:$I$228,MATCH($M149,$L$3:$L$228,0),COLUMNS($L$3:L149)),"")</f>
        <v/>
      </c>
      <c r="O149" s="3" t="str">
        <f>IF(N149&lt;&gt;"",INDEX($G$3:$I$228,MATCH($M149,$L$3:$L$228,0),COLUMNS($L$3:M149)),"")</f>
        <v/>
      </c>
      <c r="P149" s="1" t="str">
        <f>IF(O149&lt;&gt;"",INDEX($G$3:$I$228,MATCH($M149,$L$3:$L$228,0),COLUMNS($L$3:N149)),"")</f>
        <v/>
      </c>
      <c r="S149" s="1" t="b">
        <f t="shared" si="7"/>
        <v>0</v>
      </c>
      <c r="T149" s="1" t="str">
        <f>IF(S149=TRUE,ROWS($S$3:S149),"")</f>
        <v/>
      </c>
      <c r="U149" s="1" t="str">
        <f>IFERROR(SMALL($T$3:$T$228,ROWS($T$3:T149)),"")</f>
        <v/>
      </c>
      <c r="V149" s="1" t="str">
        <f>IF(U149&lt;&gt;"",INDEX($G$3:$I$228,MATCH($U149,$T$3:$T$228,0),COLUMNS($U$3:U149)),"")</f>
        <v/>
      </c>
      <c r="W149" s="1" t="str">
        <f>IF(V149&lt;&gt;"",INDEX($G$3:$I$228,MATCH($U149,$T$3:$T$228,0),COLUMNS($U$3:V149)),"")</f>
        <v/>
      </c>
      <c r="X149" s="1" t="str">
        <f>IF(W149&lt;&gt;"",INDEX($G$3:$I$228,MATCH($U149,$T$3:$T$228,0),COLUMNS($U$3:W149)),"")</f>
        <v/>
      </c>
      <c r="Z149" s="1" t="b">
        <f t="shared" si="8"/>
        <v>1</v>
      </c>
      <c r="AA149" s="1">
        <f>IF(Z149=TRUE,ROWS($Z$3:Z149),"")</f>
        <v>147</v>
      </c>
      <c r="AB149" s="1">
        <f>IFERROR(SMALL($AA$3:$AA$228,ROWS($AA$3:AA149)),"")</f>
        <v>147</v>
      </c>
      <c r="AC149" s="1" t="str">
        <f>IF(AB149&lt;&gt;"",INDEX($G$3:$I$228,MATCH($AB149,$AA$3:$AA$228,0),COLUMNS($AA$3:AA149)),"")</f>
        <v>Leestar Ruiru</v>
      </c>
      <c r="AD149" s="1">
        <f>IF(AC149&lt;&gt;"",INDEX($G$3:$I$228,MATCH($AB149,$AA$3:$AA$228,0),COLUMNS($AA$3:AB149)),"")</f>
        <v>35594.94</v>
      </c>
      <c r="AE149" s="1" t="str">
        <f>IF(AD149&lt;&gt;"",INDEX($G$3:$I$228,MATCH($AB149,$AA$3:$AA$228,0),COLUMNS($AA$3:AC149)),"")</f>
        <v>Nairobi</v>
      </c>
    </row>
    <row r="150" spans="1:31" x14ac:dyDescent="0.2">
      <c r="A150" s="2">
        <v>44750</v>
      </c>
      <c r="B150" s="1" t="s">
        <v>148</v>
      </c>
      <c r="C150" s="1" t="s">
        <v>3</v>
      </c>
      <c r="D150" s="1">
        <v>132877</v>
      </c>
      <c r="E150" s="3">
        <v>12524.08</v>
      </c>
      <c r="F150" s="1" t="s">
        <v>16</v>
      </c>
      <c r="G150" s="1" t="s">
        <v>210</v>
      </c>
      <c r="H150" s="3">
        <f>SUMIFS(Table1[Value],Table1[Outlets],G150)</f>
        <v>34769.21</v>
      </c>
      <c r="I150" s="1" t="str">
        <f>IFERROR(VLOOKUP(G150,Table1[[Outlets]:[Region]],2,0),"")</f>
        <v>Nyanza</v>
      </c>
      <c r="K150" s="1" t="b">
        <f t="shared" si="6"/>
        <v>0</v>
      </c>
      <c r="L150" s="1" t="str">
        <f>IF(K150=TRUE,ROWS($J$3:J150),"")</f>
        <v/>
      </c>
      <c r="M150" s="1" t="str">
        <f>IFERROR(SMALL($L$3:$L$228,ROWS($L$3:L150)),"")</f>
        <v/>
      </c>
      <c r="N150" s="1" t="str">
        <f>IF(M150&lt;&gt;"",INDEX($G$3:$I$228,MATCH($M150,$L$3:$L$228,0),COLUMNS($L$3:L150)),"")</f>
        <v/>
      </c>
      <c r="O150" s="3" t="str">
        <f>IF(N150&lt;&gt;"",INDEX($G$3:$I$228,MATCH($M150,$L$3:$L$228,0),COLUMNS($L$3:M150)),"")</f>
        <v/>
      </c>
      <c r="P150" s="1" t="str">
        <f>IF(O150&lt;&gt;"",INDEX($G$3:$I$228,MATCH($M150,$L$3:$L$228,0),COLUMNS($L$3:N150)),"")</f>
        <v/>
      </c>
      <c r="S150" s="1" t="b">
        <f t="shared" si="7"/>
        <v>0</v>
      </c>
      <c r="T150" s="1" t="str">
        <f>IF(S150=TRUE,ROWS($S$3:S150),"")</f>
        <v/>
      </c>
      <c r="U150" s="1" t="str">
        <f>IFERROR(SMALL($T$3:$T$228,ROWS($T$3:T150)),"")</f>
        <v/>
      </c>
      <c r="V150" s="1" t="str">
        <f>IF(U150&lt;&gt;"",INDEX($G$3:$I$228,MATCH($U150,$T$3:$T$228,0),COLUMNS($U$3:U150)),"")</f>
        <v/>
      </c>
      <c r="W150" s="1" t="str">
        <f>IF(V150&lt;&gt;"",INDEX($G$3:$I$228,MATCH($U150,$T$3:$T$228,0),COLUMNS($U$3:V150)),"")</f>
        <v/>
      </c>
      <c r="X150" s="1" t="str">
        <f>IF(W150&lt;&gt;"",INDEX($G$3:$I$228,MATCH($U150,$T$3:$T$228,0),COLUMNS($U$3:W150)),"")</f>
        <v/>
      </c>
      <c r="Z150" s="1" t="b">
        <f t="shared" si="8"/>
        <v>1</v>
      </c>
      <c r="AA150" s="1">
        <f>IF(Z150=TRUE,ROWS($Z$3:Z150),"")</f>
        <v>148</v>
      </c>
      <c r="AB150" s="1">
        <f>IFERROR(SMALL($AA$3:$AA$228,ROWS($AA$3:AA150)),"")</f>
        <v>148</v>
      </c>
      <c r="AC150" s="1" t="str">
        <f>IF(AB150&lt;&gt;"",INDEX($G$3:$I$228,MATCH($AB150,$AA$3:$AA$228,0),COLUMNS($AA$3:AA150)),"")</f>
        <v>Quickmart Nyalenda</v>
      </c>
      <c r="AD150" s="1">
        <f>IF(AC150&lt;&gt;"",INDEX($G$3:$I$228,MATCH($AB150,$AA$3:$AA$228,0),COLUMNS($AA$3:AB150)),"")</f>
        <v>34769.21</v>
      </c>
      <c r="AE150" s="1" t="str">
        <f>IF(AD150&lt;&gt;"",INDEX($G$3:$I$228,MATCH($AB150,$AA$3:$AA$228,0),COLUMNS($AA$3:AC150)),"")</f>
        <v>Nyanza</v>
      </c>
    </row>
    <row r="151" spans="1:31" x14ac:dyDescent="0.2">
      <c r="A151" s="2">
        <v>44750</v>
      </c>
      <c r="B151" s="1" t="s">
        <v>149</v>
      </c>
      <c r="C151" s="1" t="s">
        <v>3</v>
      </c>
      <c r="D151" s="1">
        <v>132881</v>
      </c>
      <c r="E151" s="3">
        <v>55616.1</v>
      </c>
      <c r="F151" s="1" t="s">
        <v>11</v>
      </c>
      <c r="G151" s="1" t="s">
        <v>236</v>
      </c>
      <c r="H151" s="3">
        <f>SUMIFS(Table1[Value],Table1[Outlets],G151)</f>
        <v>34372.07</v>
      </c>
      <c r="I151" s="1" t="str">
        <f>IFERROR(VLOOKUP(G151,Table1[[Outlets]:[Region]],2,0),"")</f>
        <v>Nyanza</v>
      </c>
      <c r="K151" s="1" t="b">
        <f t="shared" si="6"/>
        <v>0</v>
      </c>
      <c r="L151" s="1" t="str">
        <f>IF(K151=TRUE,ROWS($J$3:J151),"")</f>
        <v/>
      </c>
      <c r="M151" s="1" t="str">
        <f>IFERROR(SMALL($L$3:$L$228,ROWS($L$3:L151)),"")</f>
        <v/>
      </c>
      <c r="N151" s="1" t="str">
        <f>IF(M151&lt;&gt;"",INDEX($G$3:$I$228,MATCH($M151,$L$3:$L$228,0),COLUMNS($L$3:L151)),"")</f>
        <v/>
      </c>
      <c r="O151" s="3" t="str">
        <f>IF(N151&lt;&gt;"",INDEX($G$3:$I$228,MATCH($M151,$L$3:$L$228,0),COLUMNS($L$3:M151)),"")</f>
        <v/>
      </c>
      <c r="P151" s="1" t="str">
        <f>IF(O151&lt;&gt;"",INDEX($G$3:$I$228,MATCH($M151,$L$3:$L$228,0),COLUMNS($L$3:N151)),"")</f>
        <v/>
      </c>
      <c r="S151" s="1" t="b">
        <f t="shared" si="7"/>
        <v>0</v>
      </c>
      <c r="T151" s="1" t="str">
        <f>IF(S151=TRUE,ROWS($S$3:S151),"")</f>
        <v/>
      </c>
      <c r="U151" s="1" t="str">
        <f>IFERROR(SMALL($T$3:$T$228,ROWS($T$3:T151)),"")</f>
        <v/>
      </c>
      <c r="V151" s="1" t="str">
        <f>IF(U151&lt;&gt;"",INDEX($G$3:$I$228,MATCH($U151,$T$3:$T$228,0),COLUMNS($U$3:U151)),"")</f>
        <v/>
      </c>
      <c r="W151" s="1" t="str">
        <f>IF(V151&lt;&gt;"",INDEX($G$3:$I$228,MATCH($U151,$T$3:$T$228,0),COLUMNS($U$3:V151)),"")</f>
        <v/>
      </c>
      <c r="X151" s="1" t="str">
        <f>IF(W151&lt;&gt;"",INDEX($G$3:$I$228,MATCH($U151,$T$3:$T$228,0),COLUMNS($U$3:W151)),"")</f>
        <v/>
      </c>
      <c r="Z151" s="1" t="b">
        <f t="shared" si="8"/>
        <v>1</v>
      </c>
      <c r="AA151" s="1">
        <f>IF(Z151=TRUE,ROWS($Z$3:Z151),"")</f>
        <v>149</v>
      </c>
      <c r="AB151" s="1">
        <f>IFERROR(SMALL($AA$3:$AA$228,ROWS($AA$3:AA151)),"")</f>
        <v>149</v>
      </c>
      <c r="AC151" s="1" t="str">
        <f>IF(AB151&lt;&gt;"",INDEX($G$3:$I$228,MATCH($AB151,$AA$3:$AA$228,0),COLUMNS($AA$3:AA151)),"")</f>
        <v>Quickmart Oginga Odinga</v>
      </c>
      <c r="AD151" s="1">
        <f>IF(AC151&lt;&gt;"",INDEX($G$3:$I$228,MATCH($AB151,$AA$3:$AA$228,0),COLUMNS($AA$3:AB151)),"")</f>
        <v>34372.07</v>
      </c>
      <c r="AE151" s="1" t="str">
        <f>IF(AD151&lt;&gt;"",INDEX($G$3:$I$228,MATCH($AB151,$AA$3:$AA$228,0),COLUMNS($AA$3:AC151)),"")</f>
        <v>Nyanza</v>
      </c>
    </row>
    <row r="152" spans="1:31" x14ac:dyDescent="0.2">
      <c r="A152" s="2">
        <v>44750</v>
      </c>
      <c r="B152" s="1" t="s">
        <v>228</v>
      </c>
      <c r="C152" s="1" t="s">
        <v>250</v>
      </c>
      <c r="D152" s="1">
        <v>132884</v>
      </c>
      <c r="E152" s="3">
        <v>4027.5</v>
      </c>
      <c r="F152" s="1" t="s">
        <v>8</v>
      </c>
      <c r="G152" s="1" t="s">
        <v>237</v>
      </c>
      <c r="H152" s="3">
        <f>SUMIFS(Table1[Value],Table1[Outlets],G152)</f>
        <v>34253.64</v>
      </c>
      <c r="I152" s="1" t="str">
        <f>IFERROR(VLOOKUP(G152,Table1[[Outlets]:[Region]],2,0),"")</f>
        <v>Rift valley</v>
      </c>
      <c r="K152" s="1" t="b">
        <f t="shared" si="6"/>
        <v>0</v>
      </c>
      <c r="L152" s="1" t="str">
        <f>IF(K152=TRUE,ROWS($J$3:J152),"")</f>
        <v/>
      </c>
      <c r="M152" s="1" t="str">
        <f>IFERROR(SMALL($L$3:$L$228,ROWS($L$3:L152)),"")</f>
        <v/>
      </c>
      <c r="N152" s="1" t="str">
        <f>IF(M152&lt;&gt;"",INDEX($G$3:$I$228,MATCH($M152,$L$3:$L$228,0),COLUMNS($L$3:L152)),"")</f>
        <v/>
      </c>
      <c r="O152" s="3" t="str">
        <f>IF(N152&lt;&gt;"",INDEX($G$3:$I$228,MATCH($M152,$L$3:$L$228,0),COLUMNS($L$3:M152)),"")</f>
        <v/>
      </c>
      <c r="P152" s="1" t="str">
        <f>IF(O152&lt;&gt;"",INDEX($G$3:$I$228,MATCH($M152,$L$3:$L$228,0),COLUMNS($L$3:N152)),"")</f>
        <v/>
      </c>
      <c r="S152" s="1" t="b">
        <f t="shared" si="7"/>
        <v>0</v>
      </c>
      <c r="T152" s="1" t="str">
        <f>IF(S152=TRUE,ROWS($S$3:S152),"")</f>
        <v/>
      </c>
      <c r="U152" s="1" t="str">
        <f>IFERROR(SMALL($T$3:$T$228,ROWS($T$3:T152)),"")</f>
        <v/>
      </c>
      <c r="V152" s="1" t="str">
        <f>IF(U152&lt;&gt;"",INDEX($G$3:$I$228,MATCH($U152,$T$3:$T$228,0),COLUMNS($U$3:U152)),"")</f>
        <v/>
      </c>
      <c r="W152" s="1" t="str">
        <f>IF(V152&lt;&gt;"",INDEX($G$3:$I$228,MATCH($U152,$T$3:$T$228,0),COLUMNS($U$3:V152)),"")</f>
        <v/>
      </c>
      <c r="X152" s="1" t="str">
        <f>IF(W152&lt;&gt;"",INDEX($G$3:$I$228,MATCH($U152,$T$3:$T$228,0),COLUMNS($U$3:W152)),"")</f>
        <v/>
      </c>
      <c r="Z152" s="1" t="b">
        <f t="shared" si="8"/>
        <v>1</v>
      </c>
      <c r="AA152" s="1">
        <f>IF(Z152=TRUE,ROWS($Z$3:Z152),"")</f>
        <v>150</v>
      </c>
      <c r="AB152" s="1">
        <f>IFERROR(SMALL($AA$3:$AA$228,ROWS($AA$3:AA152)),"")</f>
        <v>150</v>
      </c>
      <c r="AC152" s="1" t="str">
        <f>IF(AB152&lt;&gt;"",INDEX($G$3:$I$228,MATCH($AB152,$AA$3:$AA$228,0),COLUMNS($AA$3:AA152)),"")</f>
        <v>Defco Nakuru</v>
      </c>
      <c r="AD152" s="1">
        <f>IF(AC152&lt;&gt;"",INDEX($G$3:$I$228,MATCH($AB152,$AA$3:$AA$228,0),COLUMNS($AA$3:AB152)),"")</f>
        <v>34253.64</v>
      </c>
      <c r="AE152" s="1" t="str">
        <f>IF(AD152&lt;&gt;"",INDEX($G$3:$I$228,MATCH($AB152,$AA$3:$AA$228,0),COLUMNS($AA$3:AC152)),"")</f>
        <v>Rift valley</v>
      </c>
    </row>
    <row r="153" spans="1:31" x14ac:dyDescent="0.2">
      <c r="A153" s="2">
        <v>44750</v>
      </c>
      <c r="B153" s="1" t="s">
        <v>150</v>
      </c>
      <c r="C153" s="1" t="s">
        <v>250</v>
      </c>
      <c r="D153" s="1">
        <v>132887</v>
      </c>
      <c r="E153" s="3">
        <v>26878.5</v>
      </c>
      <c r="F153" s="1" t="s">
        <v>8</v>
      </c>
      <c r="G153" s="1" t="s">
        <v>229</v>
      </c>
      <c r="H153" s="3">
        <f>SUMIFS(Table1[Value],Table1[Outlets],G153)</f>
        <v>34030.54</v>
      </c>
      <c r="I153" s="1" t="str">
        <f>IFERROR(VLOOKUP(G153,Table1[[Outlets]:[Region]],2,0),"")</f>
        <v>Nairobi</v>
      </c>
      <c r="K153" s="1" t="b">
        <f t="shared" si="6"/>
        <v>0</v>
      </c>
      <c r="L153" s="1" t="str">
        <f>IF(K153=TRUE,ROWS($J$3:J153),"")</f>
        <v/>
      </c>
      <c r="M153" s="1" t="str">
        <f>IFERROR(SMALL($L$3:$L$228,ROWS($L$3:L153)),"")</f>
        <v/>
      </c>
      <c r="N153" s="1" t="str">
        <f>IF(M153&lt;&gt;"",INDEX($G$3:$I$228,MATCH($M153,$L$3:$L$228,0),COLUMNS($L$3:L153)),"")</f>
        <v/>
      </c>
      <c r="O153" s="3" t="str">
        <f>IF(N153&lt;&gt;"",INDEX($G$3:$I$228,MATCH($M153,$L$3:$L$228,0),COLUMNS($L$3:M153)),"")</f>
        <v/>
      </c>
      <c r="P153" s="1" t="str">
        <f>IF(O153&lt;&gt;"",INDEX($G$3:$I$228,MATCH($M153,$L$3:$L$228,0),COLUMNS($L$3:N153)),"")</f>
        <v/>
      </c>
      <c r="S153" s="1" t="b">
        <f t="shared" si="7"/>
        <v>0</v>
      </c>
      <c r="T153" s="1" t="str">
        <f>IF(S153=TRUE,ROWS($S$3:S153),"")</f>
        <v/>
      </c>
      <c r="U153" s="1" t="str">
        <f>IFERROR(SMALL($T$3:$T$228,ROWS($T$3:T153)),"")</f>
        <v/>
      </c>
      <c r="V153" s="1" t="str">
        <f>IF(U153&lt;&gt;"",INDEX($G$3:$I$228,MATCH($U153,$T$3:$T$228,0),COLUMNS($U$3:U153)),"")</f>
        <v/>
      </c>
      <c r="W153" s="1" t="str">
        <f>IF(V153&lt;&gt;"",INDEX($G$3:$I$228,MATCH($U153,$T$3:$T$228,0),COLUMNS($U$3:V153)),"")</f>
        <v/>
      </c>
      <c r="X153" s="1" t="str">
        <f>IF(W153&lt;&gt;"",INDEX($G$3:$I$228,MATCH($U153,$T$3:$T$228,0),COLUMNS($U$3:W153)),"")</f>
        <v/>
      </c>
      <c r="Z153" s="1" t="b">
        <f t="shared" si="8"/>
        <v>1</v>
      </c>
      <c r="AA153" s="1">
        <f>IF(Z153=TRUE,ROWS($Z$3:Z153),"")</f>
        <v>151</v>
      </c>
      <c r="AB153" s="1">
        <f>IFERROR(SMALL($AA$3:$AA$228,ROWS($AA$3:AA153)),"")</f>
        <v>151</v>
      </c>
      <c r="AC153" s="1" t="str">
        <f>IF(AB153&lt;&gt;"",INDEX($G$3:$I$228,MATCH($AB153,$AA$3:$AA$228,0),COLUMNS($AA$3:AA153)),"")</f>
        <v>Defco Kahawa</v>
      </c>
      <c r="AD153" s="1">
        <f>IF(AC153&lt;&gt;"",INDEX($G$3:$I$228,MATCH($AB153,$AA$3:$AA$228,0),COLUMNS($AA$3:AB153)),"")</f>
        <v>34030.54</v>
      </c>
      <c r="AE153" s="1" t="str">
        <f>IF(AD153&lt;&gt;"",INDEX($G$3:$I$228,MATCH($AB153,$AA$3:$AA$228,0),COLUMNS($AA$3:AC153)),"")</f>
        <v>Nairobi</v>
      </c>
    </row>
    <row r="154" spans="1:31" x14ac:dyDescent="0.2">
      <c r="A154" s="2">
        <v>44750</v>
      </c>
      <c r="B154" s="1" t="s">
        <v>151</v>
      </c>
      <c r="C154" s="1" t="s">
        <v>251</v>
      </c>
      <c r="D154" s="1">
        <v>132893</v>
      </c>
      <c r="E154" s="3">
        <v>27536.720000000001</v>
      </c>
      <c r="F154" s="1" t="s">
        <v>9</v>
      </c>
      <c r="G154" s="1" t="s">
        <v>186</v>
      </c>
      <c r="H154" s="3">
        <f>SUMIFS(Table1[Value],Table1[Outlets],G154)</f>
        <v>33682.94</v>
      </c>
      <c r="I154" s="1" t="str">
        <f>IFERROR(VLOOKUP(G154,Table1[[Outlets]:[Region]],2,0),"")</f>
        <v>Central</v>
      </c>
      <c r="K154" s="1" t="b">
        <f t="shared" si="6"/>
        <v>0</v>
      </c>
      <c r="L154" s="1" t="str">
        <f>IF(K154=TRUE,ROWS($J$3:J154),"")</f>
        <v/>
      </c>
      <c r="M154" s="1" t="str">
        <f>IFERROR(SMALL($L$3:$L$228,ROWS($L$3:L154)),"")</f>
        <v/>
      </c>
      <c r="N154" s="1" t="str">
        <f>IF(M154&lt;&gt;"",INDEX($G$3:$I$228,MATCH($M154,$L$3:$L$228,0),COLUMNS($L$3:L154)),"")</f>
        <v/>
      </c>
      <c r="O154" s="3" t="str">
        <f>IF(N154&lt;&gt;"",INDEX($G$3:$I$228,MATCH($M154,$L$3:$L$228,0),COLUMNS($L$3:M154)),"")</f>
        <v/>
      </c>
      <c r="P154" s="1" t="str">
        <f>IF(O154&lt;&gt;"",INDEX($G$3:$I$228,MATCH($M154,$L$3:$L$228,0),COLUMNS($L$3:N154)),"")</f>
        <v/>
      </c>
      <c r="S154" s="1" t="b">
        <f t="shared" si="7"/>
        <v>0</v>
      </c>
      <c r="T154" s="1" t="str">
        <f>IF(S154=TRUE,ROWS($S$3:S154),"")</f>
        <v/>
      </c>
      <c r="U154" s="1" t="str">
        <f>IFERROR(SMALL($T$3:$T$228,ROWS($T$3:T154)),"")</f>
        <v/>
      </c>
      <c r="V154" s="1" t="str">
        <f>IF(U154&lt;&gt;"",INDEX($G$3:$I$228,MATCH($U154,$T$3:$T$228,0),COLUMNS($U$3:U154)),"")</f>
        <v/>
      </c>
      <c r="W154" s="1" t="str">
        <f>IF(V154&lt;&gt;"",INDEX($G$3:$I$228,MATCH($U154,$T$3:$T$228,0),COLUMNS($U$3:V154)),"")</f>
        <v/>
      </c>
      <c r="X154" s="1" t="str">
        <f>IF(W154&lt;&gt;"",INDEX($G$3:$I$228,MATCH($U154,$T$3:$T$228,0),COLUMNS($U$3:W154)),"")</f>
        <v/>
      </c>
      <c r="Z154" s="1" t="b">
        <f t="shared" si="8"/>
        <v>1</v>
      </c>
      <c r="AA154" s="1">
        <f>IF(Z154=TRUE,ROWS($Z$3:Z154),"")</f>
        <v>152</v>
      </c>
      <c r="AB154" s="1">
        <f>IFERROR(SMALL($AA$3:$AA$228,ROWS($AA$3:AA154)),"")</f>
        <v>152</v>
      </c>
      <c r="AC154" s="1" t="str">
        <f>IF(AB154&lt;&gt;"",INDEX($G$3:$I$228,MATCH($AB154,$AA$3:$AA$228,0),COLUMNS($AA$3:AA154)),"")</f>
        <v>Naivas Embu Paerl</v>
      </c>
      <c r="AD154" s="1">
        <f>IF(AC154&lt;&gt;"",INDEX($G$3:$I$228,MATCH($AB154,$AA$3:$AA$228,0),COLUMNS($AA$3:AB154)),"")</f>
        <v>33682.94</v>
      </c>
      <c r="AE154" s="1" t="str">
        <f>IF(AD154&lt;&gt;"",INDEX($G$3:$I$228,MATCH($AB154,$AA$3:$AA$228,0),COLUMNS($AA$3:AC154)),"")</f>
        <v>Central</v>
      </c>
    </row>
    <row r="155" spans="1:31" x14ac:dyDescent="0.2">
      <c r="A155" s="2">
        <v>44750</v>
      </c>
      <c r="B155" s="1" t="s">
        <v>152</v>
      </c>
      <c r="C155" s="1" t="s">
        <v>249</v>
      </c>
      <c r="D155" s="1">
        <v>132894</v>
      </c>
      <c r="E155" s="3">
        <v>12442.66</v>
      </c>
      <c r="F155" s="1" t="s">
        <v>4</v>
      </c>
      <c r="G155" s="1" t="s">
        <v>191</v>
      </c>
      <c r="H155" s="3">
        <f>SUMIFS(Table1[Value],Table1[Outlets],G155)</f>
        <v>33109.699999999997</v>
      </c>
      <c r="I155" s="1" t="str">
        <f>IFERROR(VLOOKUP(G155,Table1[[Outlets]:[Region]],2,0),"")</f>
        <v>Nairobi</v>
      </c>
      <c r="K155" s="1" t="b">
        <f t="shared" si="6"/>
        <v>0</v>
      </c>
      <c r="L155" s="1" t="str">
        <f>IF(K155=TRUE,ROWS($J$3:J155),"")</f>
        <v/>
      </c>
      <c r="M155" s="1" t="str">
        <f>IFERROR(SMALL($L$3:$L$228,ROWS($L$3:L155)),"")</f>
        <v/>
      </c>
      <c r="N155" s="1" t="str">
        <f>IF(M155&lt;&gt;"",INDEX($G$3:$I$228,MATCH($M155,$L$3:$L$228,0),COLUMNS($L$3:L155)),"")</f>
        <v/>
      </c>
      <c r="O155" s="3" t="str">
        <f>IF(N155&lt;&gt;"",INDEX($G$3:$I$228,MATCH($M155,$L$3:$L$228,0),COLUMNS($L$3:M155)),"")</f>
        <v/>
      </c>
      <c r="P155" s="1" t="str">
        <f>IF(O155&lt;&gt;"",INDEX($G$3:$I$228,MATCH($M155,$L$3:$L$228,0),COLUMNS($L$3:N155)),"")</f>
        <v/>
      </c>
      <c r="S155" s="1" t="b">
        <f t="shared" si="7"/>
        <v>0</v>
      </c>
      <c r="T155" s="1" t="str">
        <f>IF(S155=TRUE,ROWS($S$3:S155),"")</f>
        <v/>
      </c>
      <c r="U155" s="1" t="str">
        <f>IFERROR(SMALL($T$3:$T$228,ROWS($T$3:T155)),"")</f>
        <v/>
      </c>
      <c r="V155" s="1" t="str">
        <f>IF(U155&lt;&gt;"",INDEX($G$3:$I$228,MATCH($U155,$T$3:$T$228,0),COLUMNS($U$3:U155)),"")</f>
        <v/>
      </c>
      <c r="W155" s="1" t="str">
        <f>IF(V155&lt;&gt;"",INDEX($G$3:$I$228,MATCH($U155,$T$3:$T$228,0),COLUMNS($U$3:V155)),"")</f>
        <v/>
      </c>
      <c r="X155" s="1" t="str">
        <f>IF(W155&lt;&gt;"",INDEX($G$3:$I$228,MATCH($U155,$T$3:$T$228,0),COLUMNS($U$3:W155)),"")</f>
        <v/>
      </c>
      <c r="Z155" s="1" t="b">
        <f t="shared" si="8"/>
        <v>1</v>
      </c>
      <c r="AA155" s="1">
        <f>IF(Z155=TRUE,ROWS($Z$3:Z155),"")</f>
        <v>153</v>
      </c>
      <c r="AB155" s="1">
        <f>IFERROR(SMALL($AA$3:$AA$228,ROWS($AA$3:AA155)),"")</f>
        <v>153</v>
      </c>
      <c r="AC155" s="1" t="str">
        <f>IF(AB155&lt;&gt;"",INDEX($G$3:$I$228,MATCH($AB155,$AA$3:$AA$228,0),COLUMNS($AA$3:AA155)),"")</f>
        <v>Powerstar Express</v>
      </c>
      <c r="AD155" s="1">
        <f>IF(AC155&lt;&gt;"",INDEX($G$3:$I$228,MATCH($AB155,$AA$3:$AA$228,0),COLUMNS($AA$3:AB155)),"")</f>
        <v>33109.699999999997</v>
      </c>
      <c r="AE155" s="1" t="str">
        <f>IF(AD155&lt;&gt;"",INDEX($G$3:$I$228,MATCH($AB155,$AA$3:$AA$228,0),COLUMNS($AA$3:AC155)),"")</f>
        <v>Nairobi</v>
      </c>
    </row>
    <row r="156" spans="1:31" x14ac:dyDescent="0.2">
      <c r="A156" s="2">
        <v>44750</v>
      </c>
      <c r="B156" s="1" t="s">
        <v>153</v>
      </c>
      <c r="C156" s="1" t="s">
        <v>3</v>
      </c>
      <c r="D156" s="1">
        <v>132895</v>
      </c>
      <c r="E156" s="3">
        <v>129869.24</v>
      </c>
      <c r="F156" s="1" t="s">
        <v>9</v>
      </c>
      <c r="G156" s="1" t="s">
        <v>193</v>
      </c>
      <c r="H156" s="3">
        <f>SUMIFS(Table1[Value],Table1[Outlets],G156)</f>
        <v>32646.71</v>
      </c>
      <c r="I156" s="1" t="str">
        <f>IFERROR(VLOOKUP(G156,Table1[[Outlets]:[Region]],2,0),"")</f>
        <v>Western</v>
      </c>
      <c r="K156" s="1" t="b">
        <f t="shared" si="6"/>
        <v>0</v>
      </c>
      <c r="L156" s="1" t="str">
        <f>IF(K156=TRUE,ROWS($J$3:J156),"")</f>
        <v/>
      </c>
      <c r="M156" s="1" t="str">
        <f>IFERROR(SMALL($L$3:$L$228,ROWS($L$3:L156)),"")</f>
        <v/>
      </c>
      <c r="N156" s="1" t="str">
        <f>IF(M156&lt;&gt;"",INDEX($G$3:$I$228,MATCH($M156,$L$3:$L$228,0),COLUMNS($L$3:L156)),"")</f>
        <v/>
      </c>
      <c r="O156" s="3" t="str">
        <f>IF(N156&lt;&gt;"",INDEX($G$3:$I$228,MATCH($M156,$L$3:$L$228,0),COLUMNS($L$3:M156)),"")</f>
        <v/>
      </c>
      <c r="P156" s="1" t="str">
        <f>IF(O156&lt;&gt;"",INDEX($G$3:$I$228,MATCH($M156,$L$3:$L$228,0),COLUMNS($L$3:N156)),"")</f>
        <v/>
      </c>
      <c r="S156" s="1" t="b">
        <f t="shared" si="7"/>
        <v>0</v>
      </c>
      <c r="T156" s="1" t="str">
        <f>IF(S156=TRUE,ROWS($S$3:S156),"")</f>
        <v/>
      </c>
      <c r="U156" s="1" t="str">
        <f>IFERROR(SMALL($T$3:$T$228,ROWS($T$3:T156)),"")</f>
        <v/>
      </c>
      <c r="V156" s="1" t="str">
        <f>IF(U156&lt;&gt;"",INDEX($G$3:$I$228,MATCH($U156,$T$3:$T$228,0),COLUMNS($U$3:U156)),"")</f>
        <v/>
      </c>
      <c r="W156" s="1" t="str">
        <f>IF(V156&lt;&gt;"",INDEX($G$3:$I$228,MATCH($U156,$T$3:$T$228,0),COLUMNS($U$3:V156)),"")</f>
        <v/>
      </c>
      <c r="X156" s="1" t="str">
        <f>IF(W156&lt;&gt;"",INDEX($G$3:$I$228,MATCH($U156,$T$3:$T$228,0),COLUMNS($U$3:W156)),"")</f>
        <v/>
      </c>
      <c r="Z156" s="1" t="b">
        <f t="shared" si="8"/>
        <v>1</v>
      </c>
      <c r="AA156" s="1">
        <f>IF(Z156=TRUE,ROWS($Z$3:Z156),"")</f>
        <v>154</v>
      </c>
      <c r="AB156" s="1">
        <f>IFERROR(SMALL($AA$3:$AA$228,ROWS($AA$3:AA156)),"")</f>
        <v>154</v>
      </c>
      <c r="AC156" s="1" t="str">
        <f>IF(AB156&lt;&gt;"",INDEX($G$3:$I$228,MATCH($AB156,$AA$3:$AA$228,0),COLUMNS($AA$3:AA156)),"")</f>
        <v>Quickmart Kakamega</v>
      </c>
      <c r="AD156" s="1">
        <f>IF(AC156&lt;&gt;"",INDEX($G$3:$I$228,MATCH($AB156,$AA$3:$AA$228,0),COLUMNS($AA$3:AB156)),"")</f>
        <v>32646.71</v>
      </c>
      <c r="AE156" s="1" t="str">
        <f>IF(AD156&lt;&gt;"",INDEX($G$3:$I$228,MATCH($AB156,$AA$3:$AA$228,0),COLUMNS($AA$3:AC156)),"")</f>
        <v>Western</v>
      </c>
    </row>
    <row r="157" spans="1:31" x14ac:dyDescent="0.2">
      <c r="A157" s="2">
        <v>44750</v>
      </c>
      <c r="B157" s="1" t="s">
        <v>154</v>
      </c>
      <c r="C157" s="1" t="s">
        <v>251</v>
      </c>
      <c r="D157" s="1">
        <v>132896</v>
      </c>
      <c r="E157" s="3">
        <v>22647.4</v>
      </c>
      <c r="F157" s="1" t="s">
        <v>9</v>
      </c>
      <c r="G157" s="1" t="s">
        <v>143</v>
      </c>
      <c r="H157" s="3">
        <f>SUMIFS(Table1[Value],Table1[Outlets],G157)</f>
        <v>32549.05</v>
      </c>
      <c r="I157" s="1" t="str">
        <f>IFERROR(VLOOKUP(G157,Table1[[Outlets]:[Region]],2,0),"")</f>
        <v>Nairobi</v>
      </c>
      <c r="K157" s="1" t="b">
        <f t="shared" si="6"/>
        <v>0</v>
      </c>
      <c r="L157" s="1" t="str">
        <f>IF(K157=TRUE,ROWS($J$3:J157),"")</f>
        <v/>
      </c>
      <c r="M157" s="1" t="str">
        <f>IFERROR(SMALL($L$3:$L$228,ROWS($L$3:L157)),"")</f>
        <v/>
      </c>
      <c r="N157" s="1" t="str">
        <f>IF(M157&lt;&gt;"",INDEX($G$3:$I$228,MATCH($M157,$L$3:$L$228,0),COLUMNS($L$3:L157)),"")</f>
        <v/>
      </c>
      <c r="O157" s="3" t="str">
        <f>IF(N157&lt;&gt;"",INDEX($G$3:$I$228,MATCH($M157,$L$3:$L$228,0),COLUMNS($L$3:M157)),"")</f>
        <v/>
      </c>
      <c r="P157" s="1" t="str">
        <f>IF(O157&lt;&gt;"",INDEX($G$3:$I$228,MATCH($M157,$L$3:$L$228,0),COLUMNS($L$3:N157)),"")</f>
        <v/>
      </c>
      <c r="S157" s="1" t="b">
        <f t="shared" si="7"/>
        <v>0</v>
      </c>
      <c r="T157" s="1" t="str">
        <f>IF(S157=TRUE,ROWS($S$3:S157),"")</f>
        <v/>
      </c>
      <c r="U157" s="1" t="str">
        <f>IFERROR(SMALL($T$3:$T$228,ROWS($T$3:T157)),"")</f>
        <v/>
      </c>
      <c r="V157" s="1" t="str">
        <f>IF(U157&lt;&gt;"",INDEX($G$3:$I$228,MATCH($U157,$T$3:$T$228,0),COLUMNS($U$3:U157)),"")</f>
        <v/>
      </c>
      <c r="W157" s="1" t="str">
        <f>IF(V157&lt;&gt;"",INDEX($G$3:$I$228,MATCH($U157,$T$3:$T$228,0),COLUMNS($U$3:V157)),"")</f>
        <v/>
      </c>
      <c r="X157" s="1" t="str">
        <f>IF(W157&lt;&gt;"",INDEX($G$3:$I$228,MATCH($U157,$T$3:$T$228,0),COLUMNS($U$3:W157)),"")</f>
        <v/>
      </c>
      <c r="Z157" s="1" t="b">
        <f t="shared" si="8"/>
        <v>1</v>
      </c>
      <c r="AA157" s="1">
        <f>IF(Z157=TRUE,ROWS($Z$3:Z157),"")</f>
        <v>155</v>
      </c>
      <c r="AB157" s="1">
        <f>IFERROR(SMALL($AA$3:$AA$228,ROWS($AA$3:AA157)),"")</f>
        <v>155</v>
      </c>
      <c r="AC157" s="1" t="str">
        <f>IF(AB157&lt;&gt;"",INDEX($G$3:$I$228,MATCH($AB157,$AA$3:$AA$228,0),COLUMNS($AA$3:AA157)),"")</f>
        <v>Defco Mab</v>
      </c>
      <c r="AD157" s="1">
        <f>IF(AC157&lt;&gt;"",INDEX($G$3:$I$228,MATCH($AB157,$AA$3:$AA$228,0),COLUMNS($AA$3:AB157)),"")</f>
        <v>32549.05</v>
      </c>
      <c r="AE157" s="1" t="str">
        <f>IF(AD157&lt;&gt;"",INDEX($G$3:$I$228,MATCH($AB157,$AA$3:$AA$228,0),COLUMNS($AA$3:AC157)),"")</f>
        <v>Nairobi</v>
      </c>
    </row>
    <row r="158" spans="1:31" x14ac:dyDescent="0.2">
      <c r="A158" s="2">
        <v>44750</v>
      </c>
      <c r="B158" s="1" t="s">
        <v>55</v>
      </c>
      <c r="C158" s="1" t="s">
        <v>3</v>
      </c>
      <c r="D158" s="1">
        <v>132897</v>
      </c>
      <c r="E158" s="3">
        <v>41481.379999999997</v>
      </c>
      <c r="F158" s="1" t="s">
        <v>9</v>
      </c>
      <c r="G158" s="1" t="s">
        <v>107</v>
      </c>
      <c r="H158" s="3">
        <f>SUMIFS(Table1[Value],Table1[Outlets],G158)</f>
        <v>32503.620000000003</v>
      </c>
      <c r="I158" s="1" t="str">
        <f>IFERROR(VLOOKUP(G158,Table1[[Outlets]:[Region]],2,0),"")</f>
        <v>Nyanza</v>
      </c>
      <c r="K158" s="1" t="b">
        <f t="shared" si="6"/>
        <v>0</v>
      </c>
      <c r="L158" s="1" t="str">
        <f>IF(K158=TRUE,ROWS($J$3:J158),"")</f>
        <v/>
      </c>
      <c r="M158" s="1" t="str">
        <f>IFERROR(SMALL($L$3:$L$228,ROWS($L$3:L158)),"")</f>
        <v/>
      </c>
      <c r="N158" s="1" t="str">
        <f>IF(M158&lt;&gt;"",INDEX($G$3:$I$228,MATCH($M158,$L$3:$L$228,0),COLUMNS($L$3:L158)),"")</f>
        <v/>
      </c>
      <c r="O158" s="3" t="str">
        <f>IF(N158&lt;&gt;"",INDEX($G$3:$I$228,MATCH($M158,$L$3:$L$228,0),COLUMNS($L$3:M158)),"")</f>
        <v/>
      </c>
      <c r="P158" s="1" t="str">
        <f>IF(O158&lt;&gt;"",INDEX($G$3:$I$228,MATCH($M158,$L$3:$L$228,0),COLUMNS($L$3:N158)),"")</f>
        <v/>
      </c>
      <c r="S158" s="1" t="b">
        <f t="shared" si="7"/>
        <v>0</v>
      </c>
      <c r="T158" s="1" t="str">
        <f>IF(S158=TRUE,ROWS($S$3:S158),"")</f>
        <v/>
      </c>
      <c r="U158" s="1" t="str">
        <f>IFERROR(SMALL($T$3:$T$228,ROWS($T$3:T158)),"")</f>
        <v/>
      </c>
      <c r="V158" s="1" t="str">
        <f>IF(U158&lt;&gt;"",INDEX($G$3:$I$228,MATCH($U158,$T$3:$T$228,0),COLUMNS($U$3:U158)),"")</f>
        <v/>
      </c>
      <c r="W158" s="1" t="str">
        <f>IF(V158&lt;&gt;"",INDEX($G$3:$I$228,MATCH($U158,$T$3:$T$228,0),COLUMNS($U$3:V158)),"")</f>
        <v/>
      </c>
      <c r="X158" s="1" t="str">
        <f>IF(W158&lt;&gt;"",INDEX($G$3:$I$228,MATCH($U158,$T$3:$T$228,0),COLUMNS($U$3:W158)),"")</f>
        <v/>
      </c>
      <c r="Z158" s="1" t="b">
        <f t="shared" si="8"/>
        <v>1</v>
      </c>
      <c r="AA158" s="1">
        <f>IF(Z158=TRUE,ROWS($Z$3:Z158),"")</f>
        <v>156</v>
      </c>
      <c r="AB158" s="1">
        <f>IFERROR(SMALL($AA$3:$AA$228,ROWS($AA$3:AA158)),"")</f>
        <v>156</v>
      </c>
      <c r="AC158" s="1" t="str">
        <f>IF(AB158&lt;&gt;"",INDEX($G$3:$I$228,MATCH($AB158,$AA$3:$AA$228,0),COLUMNS($AA$3:AA158)),"")</f>
        <v>Quickmart Mayfair</v>
      </c>
      <c r="AD158" s="1">
        <f>IF(AC158&lt;&gt;"",INDEX($G$3:$I$228,MATCH($AB158,$AA$3:$AA$228,0),COLUMNS($AA$3:AB158)),"")</f>
        <v>32503.620000000003</v>
      </c>
      <c r="AE158" s="1" t="str">
        <f>IF(AD158&lt;&gt;"",INDEX($G$3:$I$228,MATCH($AB158,$AA$3:$AA$228,0),COLUMNS($AA$3:AC158)),"")</f>
        <v>Nyanza</v>
      </c>
    </row>
    <row r="159" spans="1:31" x14ac:dyDescent="0.2">
      <c r="A159" s="2">
        <v>44750</v>
      </c>
      <c r="B159" s="1" t="s">
        <v>72</v>
      </c>
      <c r="C159" s="1" t="s">
        <v>3</v>
      </c>
      <c r="D159" s="1">
        <v>132903</v>
      </c>
      <c r="E159" s="3">
        <v>3307.5</v>
      </c>
      <c r="F159" s="1" t="s">
        <v>8</v>
      </c>
      <c r="G159" s="1" t="s">
        <v>182</v>
      </c>
      <c r="H159" s="3">
        <f>SUMIFS(Table1[Value],Table1[Outlets],G159)</f>
        <v>32491.809999999998</v>
      </c>
      <c r="I159" s="1" t="str">
        <f>IFERROR(VLOOKUP(G159,Table1[[Outlets]:[Region]],2,0),"")</f>
        <v>Nyanza</v>
      </c>
      <c r="K159" s="1" t="b">
        <f t="shared" si="6"/>
        <v>0</v>
      </c>
      <c r="L159" s="1" t="str">
        <f>IF(K159=TRUE,ROWS($J$3:J159),"")</f>
        <v/>
      </c>
      <c r="M159" s="1" t="str">
        <f>IFERROR(SMALL($L$3:$L$228,ROWS($L$3:L159)),"")</f>
        <v/>
      </c>
      <c r="N159" s="1" t="str">
        <f>IF(M159&lt;&gt;"",INDEX($G$3:$I$228,MATCH($M159,$L$3:$L$228,0),COLUMNS($L$3:L159)),"")</f>
        <v/>
      </c>
      <c r="O159" s="3" t="str">
        <f>IF(N159&lt;&gt;"",INDEX($G$3:$I$228,MATCH($M159,$L$3:$L$228,0),COLUMNS($L$3:M159)),"")</f>
        <v/>
      </c>
      <c r="P159" s="1" t="str">
        <f>IF(O159&lt;&gt;"",INDEX($G$3:$I$228,MATCH($M159,$L$3:$L$228,0),COLUMNS($L$3:N159)),"")</f>
        <v/>
      </c>
      <c r="S159" s="1" t="b">
        <f t="shared" si="7"/>
        <v>0</v>
      </c>
      <c r="T159" s="1" t="str">
        <f>IF(S159=TRUE,ROWS($S$3:S159),"")</f>
        <v/>
      </c>
      <c r="U159" s="1" t="str">
        <f>IFERROR(SMALL($T$3:$T$228,ROWS($T$3:T159)),"")</f>
        <v/>
      </c>
      <c r="V159" s="1" t="str">
        <f>IF(U159&lt;&gt;"",INDEX($G$3:$I$228,MATCH($U159,$T$3:$T$228,0),COLUMNS($U$3:U159)),"")</f>
        <v/>
      </c>
      <c r="W159" s="1" t="str">
        <f>IF(V159&lt;&gt;"",INDEX($G$3:$I$228,MATCH($U159,$T$3:$T$228,0),COLUMNS($U$3:V159)),"")</f>
        <v/>
      </c>
      <c r="X159" s="1" t="str">
        <f>IF(W159&lt;&gt;"",INDEX($G$3:$I$228,MATCH($U159,$T$3:$T$228,0),COLUMNS($U$3:W159)),"")</f>
        <v/>
      </c>
      <c r="Z159" s="1" t="b">
        <f t="shared" si="8"/>
        <v>1</v>
      </c>
      <c r="AA159" s="1">
        <f>IF(Z159=TRUE,ROWS($Z$3:Z159),"")</f>
        <v>157</v>
      </c>
      <c r="AB159" s="1">
        <f>IFERROR(SMALL($AA$3:$AA$228,ROWS($AA$3:AA159)),"")</f>
        <v>157</v>
      </c>
      <c r="AC159" s="1" t="str">
        <f>IF(AB159&lt;&gt;"",INDEX($G$3:$I$228,MATCH($AB159,$AA$3:$AA$228,0),COLUMNS($AA$3:AA159)),"")</f>
        <v>Naivas Kisumu Mega</v>
      </c>
      <c r="AD159" s="1">
        <f>IF(AC159&lt;&gt;"",INDEX($G$3:$I$228,MATCH($AB159,$AA$3:$AA$228,0),COLUMNS($AA$3:AB159)),"")</f>
        <v>32491.809999999998</v>
      </c>
      <c r="AE159" s="1" t="str">
        <f>IF(AD159&lt;&gt;"",INDEX($G$3:$I$228,MATCH($AB159,$AA$3:$AA$228,0),COLUMNS($AA$3:AC159)),"")</f>
        <v>Nyanza</v>
      </c>
    </row>
    <row r="160" spans="1:31" x14ac:dyDescent="0.2">
      <c r="A160" s="2">
        <v>44751</v>
      </c>
      <c r="B160" s="1" t="s">
        <v>63</v>
      </c>
      <c r="C160" s="1" t="s">
        <v>3</v>
      </c>
      <c r="D160" s="1">
        <v>132912</v>
      </c>
      <c r="E160" s="3">
        <v>13293</v>
      </c>
      <c r="F160" s="1" t="s">
        <v>8</v>
      </c>
      <c r="G160" s="1" t="s">
        <v>189</v>
      </c>
      <c r="H160" s="3">
        <f>SUMIFS(Table1[Value],Table1[Outlets],G160)</f>
        <v>31882.51</v>
      </c>
      <c r="I160" s="1" t="str">
        <f>IFERROR(VLOOKUP(G160,Table1[[Outlets]:[Region]],2,0),"")</f>
        <v>Eastern</v>
      </c>
      <c r="K160" s="1" t="b">
        <f t="shared" si="6"/>
        <v>0</v>
      </c>
      <c r="L160" s="1" t="str">
        <f>IF(K160=TRUE,ROWS($J$3:J160),"")</f>
        <v/>
      </c>
      <c r="M160" s="1" t="str">
        <f>IFERROR(SMALL($L$3:$L$228,ROWS($L$3:L160)),"")</f>
        <v/>
      </c>
      <c r="N160" s="1" t="str">
        <f>IF(M160&lt;&gt;"",INDEX($G$3:$I$228,MATCH($M160,$L$3:$L$228,0),COLUMNS($L$3:L160)),"")</f>
        <v/>
      </c>
      <c r="O160" s="3" t="str">
        <f>IF(N160&lt;&gt;"",INDEX($G$3:$I$228,MATCH($M160,$L$3:$L$228,0),COLUMNS($L$3:M160)),"")</f>
        <v/>
      </c>
      <c r="P160" s="1" t="str">
        <f>IF(O160&lt;&gt;"",INDEX($G$3:$I$228,MATCH($M160,$L$3:$L$228,0),COLUMNS($L$3:N160)),"")</f>
        <v/>
      </c>
      <c r="S160" s="1" t="b">
        <f t="shared" si="7"/>
        <v>0</v>
      </c>
      <c r="T160" s="1" t="str">
        <f>IF(S160=TRUE,ROWS($S$3:S160),"")</f>
        <v/>
      </c>
      <c r="U160" s="1" t="str">
        <f>IFERROR(SMALL($T$3:$T$228,ROWS($T$3:T160)),"")</f>
        <v/>
      </c>
      <c r="V160" s="1" t="str">
        <f>IF(U160&lt;&gt;"",INDEX($G$3:$I$228,MATCH($U160,$T$3:$T$228,0),COLUMNS($U$3:U160)),"")</f>
        <v/>
      </c>
      <c r="W160" s="1" t="str">
        <f>IF(V160&lt;&gt;"",INDEX($G$3:$I$228,MATCH($U160,$T$3:$T$228,0),COLUMNS($U$3:V160)),"")</f>
        <v/>
      </c>
      <c r="X160" s="1" t="str">
        <f>IF(W160&lt;&gt;"",INDEX($G$3:$I$228,MATCH($U160,$T$3:$T$228,0),COLUMNS($U$3:W160)),"")</f>
        <v/>
      </c>
      <c r="Z160" s="1" t="b">
        <f t="shared" si="8"/>
        <v>1</v>
      </c>
      <c r="AA160" s="1">
        <f>IF(Z160=TRUE,ROWS($Z$3:Z160),"")</f>
        <v>158</v>
      </c>
      <c r="AB160" s="1">
        <f>IFERROR(SMALL($AA$3:$AA$228,ROWS($AA$3:AA160)),"")</f>
        <v>158</v>
      </c>
      <c r="AC160" s="1" t="str">
        <f>IF(AB160&lt;&gt;"",INDEX($G$3:$I$228,MATCH($AB160,$AA$3:$AA$228,0),COLUMNS($AA$3:AA160)),"")</f>
        <v>Quickmart Machakos Pioneer</v>
      </c>
      <c r="AD160" s="1">
        <f>IF(AC160&lt;&gt;"",INDEX($G$3:$I$228,MATCH($AB160,$AA$3:$AA$228,0),COLUMNS($AA$3:AB160)),"")</f>
        <v>31882.51</v>
      </c>
      <c r="AE160" s="1" t="str">
        <f>IF(AD160&lt;&gt;"",INDEX($G$3:$I$228,MATCH($AB160,$AA$3:$AA$228,0),COLUMNS($AA$3:AC160)),"")</f>
        <v>Eastern</v>
      </c>
    </row>
    <row r="161" spans="1:31" x14ac:dyDescent="0.2">
      <c r="A161" s="2">
        <v>44751</v>
      </c>
      <c r="B161" s="1" t="s">
        <v>25</v>
      </c>
      <c r="C161" s="1" t="s">
        <v>3</v>
      </c>
      <c r="D161" s="1">
        <v>132913</v>
      </c>
      <c r="E161" s="3">
        <v>168944.48</v>
      </c>
      <c r="F161" s="1" t="s">
        <v>8</v>
      </c>
      <c r="G161" s="1" t="s">
        <v>57</v>
      </c>
      <c r="H161" s="3">
        <f>SUMIFS(Table1[Value],Table1[Outlets],G161)</f>
        <v>31516.89</v>
      </c>
      <c r="I161" s="1" t="str">
        <f>IFERROR(VLOOKUP(G161,Table1[[Outlets]:[Region]],2,0),"")</f>
        <v>Coast</v>
      </c>
      <c r="K161" s="1" t="b">
        <f t="shared" si="6"/>
        <v>0</v>
      </c>
      <c r="L161" s="1" t="str">
        <f>IF(K161=TRUE,ROWS($J$3:J161),"")</f>
        <v/>
      </c>
      <c r="M161" s="1" t="str">
        <f>IFERROR(SMALL($L$3:$L$228,ROWS($L$3:L161)),"")</f>
        <v/>
      </c>
      <c r="N161" s="1" t="str">
        <f>IF(M161&lt;&gt;"",INDEX($G$3:$I$228,MATCH($M161,$L$3:$L$228,0),COLUMNS($L$3:L161)),"")</f>
        <v/>
      </c>
      <c r="O161" s="3" t="str">
        <f>IF(N161&lt;&gt;"",INDEX($G$3:$I$228,MATCH($M161,$L$3:$L$228,0),COLUMNS($L$3:M161)),"")</f>
        <v/>
      </c>
      <c r="P161" s="1" t="str">
        <f>IF(O161&lt;&gt;"",INDEX($G$3:$I$228,MATCH($M161,$L$3:$L$228,0),COLUMNS($L$3:N161)),"")</f>
        <v/>
      </c>
      <c r="S161" s="1" t="b">
        <f t="shared" si="7"/>
        <v>0</v>
      </c>
      <c r="T161" s="1" t="str">
        <f>IF(S161=TRUE,ROWS($S$3:S161),"")</f>
        <v/>
      </c>
      <c r="U161" s="1" t="str">
        <f>IFERROR(SMALL($T$3:$T$228,ROWS($T$3:T161)),"")</f>
        <v/>
      </c>
      <c r="V161" s="1" t="str">
        <f>IF(U161&lt;&gt;"",INDEX($G$3:$I$228,MATCH($U161,$T$3:$T$228,0),COLUMNS($U$3:U161)),"")</f>
        <v/>
      </c>
      <c r="W161" s="1" t="str">
        <f>IF(V161&lt;&gt;"",INDEX($G$3:$I$228,MATCH($U161,$T$3:$T$228,0),COLUMNS($U$3:V161)),"")</f>
        <v/>
      </c>
      <c r="X161" s="1" t="str">
        <f>IF(W161&lt;&gt;"",INDEX($G$3:$I$228,MATCH($U161,$T$3:$T$228,0),COLUMNS($U$3:W161)),"")</f>
        <v/>
      </c>
      <c r="Z161" s="1" t="b">
        <f t="shared" si="8"/>
        <v>1</v>
      </c>
      <c r="AA161" s="1">
        <f>IF(Z161=TRUE,ROWS($Z$3:Z161),"")</f>
        <v>159</v>
      </c>
      <c r="AB161" s="1">
        <f>IFERROR(SMALL($AA$3:$AA$228,ROWS($AA$3:AA161)),"")</f>
        <v>159</v>
      </c>
      <c r="AC161" s="1" t="str">
        <f>IF(AB161&lt;&gt;"",INDEX($G$3:$I$228,MATCH($AB161,$AA$3:$AA$228,0),COLUMNS($AA$3:AA161)),"")</f>
        <v>Quickmart Mtwapa Express</v>
      </c>
      <c r="AD161" s="1">
        <f>IF(AC161&lt;&gt;"",INDEX($G$3:$I$228,MATCH($AB161,$AA$3:$AA$228,0),COLUMNS($AA$3:AB161)),"")</f>
        <v>31516.89</v>
      </c>
      <c r="AE161" s="1" t="str">
        <f>IF(AD161&lt;&gt;"",INDEX($G$3:$I$228,MATCH($AB161,$AA$3:$AA$228,0),COLUMNS($AA$3:AC161)),"")</f>
        <v>Coast</v>
      </c>
    </row>
    <row r="162" spans="1:31" x14ac:dyDescent="0.2">
      <c r="A162" s="2">
        <v>44751</v>
      </c>
      <c r="B162" s="1" t="s">
        <v>155</v>
      </c>
      <c r="C162" s="1" t="s">
        <v>3</v>
      </c>
      <c r="D162" s="1">
        <v>132914</v>
      </c>
      <c r="E162" s="3">
        <v>14818.97</v>
      </c>
      <c r="F162" s="1" t="s">
        <v>11</v>
      </c>
      <c r="G162" s="1" t="s">
        <v>192</v>
      </c>
      <c r="H162" s="3">
        <f>SUMIFS(Table1[Value],Table1[Outlets],G162)</f>
        <v>30943.94</v>
      </c>
      <c r="I162" s="1" t="str">
        <f>IFERROR(VLOOKUP(G162,Table1[[Outlets]:[Region]],2,0),"")</f>
        <v>Nairobi</v>
      </c>
      <c r="K162" s="1" t="b">
        <f t="shared" si="6"/>
        <v>0</v>
      </c>
      <c r="L162" s="1" t="str">
        <f>IF(K162=TRUE,ROWS($J$3:J162),"")</f>
        <v/>
      </c>
      <c r="M162" s="1" t="str">
        <f>IFERROR(SMALL($L$3:$L$228,ROWS($L$3:L162)),"")</f>
        <v/>
      </c>
      <c r="N162" s="1" t="str">
        <f>IF(M162&lt;&gt;"",INDEX($G$3:$I$228,MATCH($M162,$L$3:$L$228,0),COLUMNS($L$3:L162)),"")</f>
        <v/>
      </c>
      <c r="O162" s="3" t="str">
        <f>IF(N162&lt;&gt;"",INDEX($G$3:$I$228,MATCH($M162,$L$3:$L$228,0),COLUMNS($L$3:M162)),"")</f>
        <v/>
      </c>
      <c r="P162" s="1" t="str">
        <f>IF(O162&lt;&gt;"",INDEX($G$3:$I$228,MATCH($M162,$L$3:$L$228,0),COLUMNS($L$3:N162)),"")</f>
        <v/>
      </c>
      <c r="S162" s="1" t="b">
        <f t="shared" si="7"/>
        <v>0</v>
      </c>
      <c r="T162" s="1" t="str">
        <f>IF(S162=TRUE,ROWS($S$3:S162),"")</f>
        <v/>
      </c>
      <c r="U162" s="1" t="str">
        <f>IFERROR(SMALL($T$3:$T$228,ROWS($T$3:T162)),"")</f>
        <v/>
      </c>
      <c r="V162" s="1" t="str">
        <f>IF(U162&lt;&gt;"",INDEX($G$3:$I$228,MATCH($U162,$T$3:$T$228,0),COLUMNS($U$3:U162)),"")</f>
        <v/>
      </c>
      <c r="W162" s="1" t="str">
        <f>IF(V162&lt;&gt;"",INDEX($G$3:$I$228,MATCH($U162,$T$3:$T$228,0),COLUMNS($U$3:V162)),"")</f>
        <v/>
      </c>
      <c r="X162" s="1" t="str">
        <f>IF(W162&lt;&gt;"",INDEX($G$3:$I$228,MATCH($U162,$T$3:$T$228,0),COLUMNS($U$3:W162)),"")</f>
        <v/>
      </c>
      <c r="Z162" s="1" t="b">
        <f t="shared" si="8"/>
        <v>1</v>
      </c>
      <c r="AA162" s="1">
        <f>IF(Z162=TRUE,ROWS($Z$3:Z162),"")</f>
        <v>160</v>
      </c>
      <c r="AB162" s="1">
        <f>IFERROR(SMALL($AA$3:$AA$228,ROWS($AA$3:AA162)),"")</f>
        <v>160</v>
      </c>
      <c r="AC162" s="1" t="str">
        <f>IF(AB162&lt;&gt;"",INDEX($G$3:$I$228,MATCH($AB162,$AA$3:$AA$228,0),COLUMNS($AA$3:AA162)),"")</f>
        <v>Leestar Makongeni</v>
      </c>
      <c r="AD162" s="1">
        <f>IF(AC162&lt;&gt;"",INDEX($G$3:$I$228,MATCH($AB162,$AA$3:$AA$228,0),COLUMNS($AA$3:AB162)),"")</f>
        <v>30943.94</v>
      </c>
      <c r="AE162" s="1" t="str">
        <f>IF(AD162&lt;&gt;"",INDEX($G$3:$I$228,MATCH($AB162,$AA$3:$AA$228,0),COLUMNS($AA$3:AC162)),"")</f>
        <v>Nairobi</v>
      </c>
    </row>
    <row r="163" spans="1:31" x14ac:dyDescent="0.2">
      <c r="A163" s="2">
        <v>44751</v>
      </c>
      <c r="B163" s="1" t="s">
        <v>52</v>
      </c>
      <c r="C163" s="1" t="s">
        <v>3</v>
      </c>
      <c r="D163" s="1">
        <v>132915</v>
      </c>
      <c r="E163" s="3">
        <v>6448.7</v>
      </c>
      <c r="F163" s="1" t="s">
        <v>11</v>
      </c>
      <c r="G163" s="1" t="s">
        <v>148</v>
      </c>
      <c r="H163" s="3">
        <f>SUMIFS(Table1[Value],Table1[Outlets],G163)</f>
        <v>30782.730000000003</v>
      </c>
      <c r="I163" s="1" t="str">
        <f>IFERROR(VLOOKUP(G163,Table1[[Outlets]:[Region]],2,0),"")</f>
        <v>Nairobi</v>
      </c>
      <c r="K163" s="1" t="b">
        <f t="shared" si="6"/>
        <v>0</v>
      </c>
      <c r="L163" s="1" t="str">
        <f>IF(K163=TRUE,ROWS($J$3:J163),"")</f>
        <v/>
      </c>
      <c r="M163" s="1" t="str">
        <f>IFERROR(SMALL($L$3:$L$228,ROWS($L$3:L163)),"")</f>
        <v/>
      </c>
      <c r="N163" s="1" t="str">
        <f>IF(M163&lt;&gt;"",INDEX($G$3:$I$228,MATCH($M163,$L$3:$L$228,0),COLUMNS($L$3:L163)),"")</f>
        <v/>
      </c>
      <c r="O163" s="3" t="str">
        <f>IF(N163&lt;&gt;"",INDEX($G$3:$I$228,MATCH($M163,$L$3:$L$228,0),COLUMNS($L$3:M163)),"")</f>
        <v/>
      </c>
      <c r="P163" s="1" t="str">
        <f>IF(O163&lt;&gt;"",INDEX($G$3:$I$228,MATCH($M163,$L$3:$L$228,0),COLUMNS($L$3:N163)),"")</f>
        <v/>
      </c>
      <c r="S163" s="1" t="b">
        <f t="shared" si="7"/>
        <v>0</v>
      </c>
      <c r="T163" s="1" t="str">
        <f>IF(S163=TRUE,ROWS($S$3:S163),"")</f>
        <v/>
      </c>
      <c r="U163" s="1" t="str">
        <f>IFERROR(SMALL($T$3:$T$228,ROWS($T$3:T163)),"")</f>
        <v/>
      </c>
      <c r="V163" s="1" t="str">
        <f>IF(U163&lt;&gt;"",INDEX($G$3:$I$228,MATCH($U163,$T$3:$T$228,0),COLUMNS($U$3:U163)),"")</f>
        <v/>
      </c>
      <c r="W163" s="1" t="str">
        <f>IF(V163&lt;&gt;"",INDEX($G$3:$I$228,MATCH($U163,$T$3:$T$228,0),COLUMNS($U$3:V163)),"")</f>
        <v/>
      </c>
      <c r="X163" s="1" t="str">
        <f>IF(W163&lt;&gt;"",INDEX($G$3:$I$228,MATCH($U163,$T$3:$T$228,0),COLUMNS($U$3:W163)),"")</f>
        <v/>
      </c>
      <c r="Z163" s="1" t="b">
        <f t="shared" si="8"/>
        <v>1</v>
      </c>
      <c r="AA163" s="1">
        <f>IF(Z163=TRUE,ROWS($Z$3:Z163),"")</f>
        <v>161</v>
      </c>
      <c r="AB163" s="1">
        <f>IFERROR(SMALL($AA$3:$AA$228,ROWS($AA$3:AA163)),"")</f>
        <v>161</v>
      </c>
      <c r="AC163" s="1" t="str">
        <f>IF(AB163&lt;&gt;"",INDEX($G$3:$I$228,MATCH($AB163,$AA$3:$AA$228,0),COLUMNS($AA$3:AA163)),"")</f>
        <v>Kassmatt Jumbo</v>
      </c>
      <c r="AD163" s="1">
        <f>IF(AC163&lt;&gt;"",INDEX($G$3:$I$228,MATCH($AB163,$AA$3:$AA$228,0),COLUMNS($AA$3:AB163)),"")</f>
        <v>30782.730000000003</v>
      </c>
      <c r="AE163" s="1" t="str">
        <f>IF(AD163&lt;&gt;"",INDEX($G$3:$I$228,MATCH($AB163,$AA$3:$AA$228,0),COLUMNS($AA$3:AC163)),"")</f>
        <v>Nairobi</v>
      </c>
    </row>
    <row r="164" spans="1:31" x14ac:dyDescent="0.2">
      <c r="A164" s="2">
        <v>44751</v>
      </c>
      <c r="B164" s="1" t="s">
        <v>156</v>
      </c>
      <c r="C164" s="1" t="s">
        <v>252</v>
      </c>
      <c r="D164" s="1">
        <v>132916</v>
      </c>
      <c r="E164" s="3">
        <v>51195.05</v>
      </c>
      <c r="F164" s="1" t="s">
        <v>11</v>
      </c>
      <c r="G164" s="1" t="s">
        <v>214</v>
      </c>
      <c r="H164" s="3">
        <f>SUMIFS(Table1[Value],Table1[Outlets],G164)</f>
        <v>30398.27</v>
      </c>
      <c r="I164" s="1" t="str">
        <f>IFERROR(VLOOKUP(G164,Table1[[Outlets]:[Region]],2,0),"")</f>
        <v>Nairobi</v>
      </c>
      <c r="K164" s="1" t="b">
        <f t="shared" si="6"/>
        <v>0</v>
      </c>
      <c r="L164" s="1" t="str">
        <f>IF(K164=TRUE,ROWS($J$3:J164),"")</f>
        <v/>
      </c>
      <c r="M164" s="1" t="str">
        <f>IFERROR(SMALL($L$3:$L$228,ROWS($L$3:L164)),"")</f>
        <v/>
      </c>
      <c r="N164" s="1" t="str">
        <f>IF(M164&lt;&gt;"",INDEX($G$3:$I$228,MATCH($M164,$L$3:$L$228,0),COLUMNS($L$3:L164)),"")</f>
        <v/>
      </c>
      <c r="O164" s="3" t="str">
        <f>IF(N164&lt;&gt;"",INDEX($G$3:$I$228,MATCH($M164,$L$3:$L$228,0),COLUMNS($L$3:M164)),"")</f>
        <v/>
      </c>
      <c r="P164" s="1" t="str">
        <f>IF(O164&lt;&gt;"",INDEX($G$3:$I$228,MATCH($M164,$L$3:$L$228,0),COLUMNS($L$3:N164)),"")</f>
        <v/>
      </c>
      <c r="S164" s="1" t="b">
        <f t="shared" si="7"/>
        <v>0</v>
      </c>
      <c r="T164" s="1" t="str">
        <f>IF(S164=TRUE,ROWS($S$3:S164),"")</f>
        <v/>
      </c>
      <c r="U164" s="1" t="str">
        <f>IFERROR(SMALL($T$3:$T$228,ROWS($T$3:T164)),"")</f>
        <v/>
      </c>
      <c r="V164" s="1" t="str">
        <f>IF(U164&lt;&gt;"",INDEX($G$3:$I$228,MATCH($U164,$T$3:$T$228,0),COLUMNS($U$3:U164)),"")</f>
        <v/>
      </c>
      <c r="W164" s="1" t="str">
        <f>IF(V164&lt;&gt;"",INDEX($G$3:$I$228,MATCH($U164,$T$3:$T$228,0),COLUMNS($U$3:V164)),"")</f>
        <v/>
      </c>
      <c r="X164" s="1" t="str">
        <f>IF(W164&lt;&gt;"",INDEX($G$3:$I$228,MATCH($U164,$T$3:$T$228,0),COLUMNS($U$3:W164)),"")</f>
        <v/>
      </c>
      <c r="Z164" s="1" t="b">
        <f t="shared" si="8"/>
        <v>1</v>
      </c>
      <c r="AA164" s="1">
        <f>IF(Z164=TRUE,ROWS($Z$3:Z164),"")</f>
        <v>162</v>
      </c>
      <c r="AB164" s="1">
        <f>IFERROR(SMALL($AA$3:$AA$228,ROWS($AA$3:AA164)),"")</f>
        <v>162</v>
      </c>
      <c r="AC164" s="1" t="str">
        <f>IF(AB164&lt;&gt;"",INDEX($G$3:$I$228,MATCH($AB164,$AA$3:$AA$228,0),COLUMNS($AA$3:AA164)),"")</f>
        <v>Naivas Airport</v>
      </c>
      <c r="AD164" s="1">
        <f>IF(AC164&lt;&gt;"",INDEX($G$3:$I$228,MATCH($AB164,$AA$3:$AA$228,0),COLUMNS($AA$3:AB164)),"")</f>
        <v>30398.27</v>
      </c>
      <c r="AE164" s="1" t="str">
        <f>IF(AD164&lt;&gt;"",INDEX($G$3:$I$228,MATCH($AB164,$AA$3:$AA$228,0),COLUMNS($AA$3:AC164)),"")</f>
        <v>Nairobi</v>
      </c>
    </row>
    <row r="165" spans="1:31" x14ac:dyDescent="0.2">
      <c r="A165" s="2">
        <v>44751</v>
      </c>
      <c r="B165" s="1" t="s">
        <v>157</v>
      </c>
      <c r="C165" s="1" t="s">
        <v>3</v>
      </c>
      <c r="D165" s="1">
        <v>132919</v>
      </c>
      <c r="E165" s="3">
        <v>29887.52</v>
      </c>
      <c r="F165" s="1" t="s">
        <v>16</v>
      </c>
      <c r="G165" s="1" t="s">
        <v>127</v>
      </c>
      <c r="H165" s="3">
        <f>SUMIFS(Table1[Value],Table1[Outlets],G165)</f>
        <v>30248.87</v>
      </c>
      <c r="I165" s="1" t="str">
        <f>IFERROR(VLOOKUP(G165,Table1[[Outlets]:[Region]],2,0),"")</f>
        <v>Nairobi</v>
      </c>
      <c r="K165" s="1" t="b">
        <f t="shared" si="6"/>
        <v>0</v>
      </c>
      <c r="L165" s="1" t="str">
        <f>IF(K165=TRUE,ROWS($J$3:J165),"")</f>
        <v/>
      </c>
      <c r="M165" s="1" t="str">
        <f>IFERROR(SMALL($L$3:$L$228,ROWS($L$3:L165)),"")</f>
        <v/>
      </c>
      <c r="N165" s="1" t="str">
        <f>IF(M165&lt;&gt;"",INDEX($G$3:$I$228,MATCH($M165,$L$3:$L$228,0),COLUMNS($L$3:L165)),"")</f>
        <v/>
      </c>
      <c r="O165" s="3" t="str">
        <f>IF(N165&lt;&gt;"",INDEX($G$3:$I$228,MATCH($M165,$L$3:$L$228,0),COLUMNS($L$3:M165)),"")</f>
        <v/>
      </c>
      <c r="P165" s="1" t="str">
        <f>IF(O165&lt;&gt;"",INDEX($G$3:$I$228,MATCH($M165,$L$3:$L$228,0),COLUMNS($L$3:N165)),"")</f>
        <v/>
      </c>
      <c r="S165" s="1" t="b">
        <f t="shared" si="7"/>
        <v>0</v>
      </c>
      <c r="T165" s="1" t="str">
        <f>IF(S165=TRUE,ROWS($S$3:S165),"")</f>
        <v/>
      </c>
      <c r="U165" s="1" t="str">
        <f>IFERROR(SMALL($T$3:$T$228,ROWS($T$3:T165)),"")</f>
        <v/>
      </c>
      <c r="V165" s="1" t="str">
        <f>IF(U165&lt;&gt;"",INDEX($G$3:$I$228,MATCH($U165,$T$3:$T$228,0),COLUMNS($U$3:U165)),"")</f>
        <v/>
      </c>
      <c r="W165" s="1" t="str">
        <f>IF(V165&lt;&gt;"",INDEX($G$3:$I$228,MATCH($U165,$T$3:$T$228,0),COLUMNS($U$3:V165)),"")</f>
        <v/>
      </c>
      <c r="X165" s="1" t="str">
        <f>IF(W165&lt;&gt;"",INDEX($G$3:$I$228,MATCH($U165,$T$3:$T$228,0),COLUMNS($U$3:W165)),"")</f>
        <v/>
      </c>
      <c r="Z165" s="1" t="b">
        <f t="shared" si="8"/>
        <v>1</v>
      </c>
      <c r="AA165" s="1">
        <f>IF(Z165=TRUE,ROWS($Z$3:Z165),"")</f>
        <v>163</v>
      </c>
      <c r="AB165" s="1">
        <f>IFERROR(SMALL($AA$3:$AA$228,ROWS($AA$3:AA165)),"")</f>
        <v>163</v>
      </c>
      <c r="AC165" s="1" t="str">
        <f>IF(AB165&lt;&gt;"",INDEX($G$3:$I$228,MATCH($AB165,$AA$3:$AA$228,0),COLUMNS($AA$3:AA165)),"")</f>
        <v>Quickmart Outering</v>
      </c>
      <c r="AD165" s="1">
        <f>IF(AC165&lt;&gt;"",INDEX($G$3:$I$228,MATCH($AB165,$AA$3:$AA$228,0),COLUMNS($AA$3:AB165)),"")</f>
        <v>30248.87</v>
      </c>
      <c r="AE165" s="1" t="str">
        <f>IF(AD165&lt;&gt;"",INDEX($G$3:$I$228,MATCH($AB165,$AA$3:$AA$228,0),COLUMNS($AA$3:AC165)),"")</f>
        <v>Nairobi</v>
      </c>
    </row>
    <row r="166" spans="1:31" x14ac:dyDescent="0.2">
      <c r="A166" s="2">
        <v>44751</v>
      </c>
      <c r="B166" s="1" t="s">
        <v>158</v>
      </c>
      <c r="C166" s="1" t="s">
        <v>3</v>
      </c>
      <c r="D166" s="1">
        <v>132921</v>
      </c>
      <c r="E166" s="3">
        <v>19014.14</v>
      </c>
      <c r="F166" s="1" t="s">
        <v>11</v>
      </c>
      <c r="G166" s="1" t="s">
        <v>99</v>
      </c>
      <c r="H166" s="3">
        <f>SUMIFS(Table1[Value],Table1[Outlets],G166)</f>
        <v>30022.940000000002</v>
      </c>
      <c r="I166" s="1" t="str">
        <f>IFERROR(VLOOKUP(G166,Table1[[Outlets]:[Region]],2,0),"")</f>
        <v>Nairobi</v>
      </c>
      <c r="K166" s="1" t="b">
        <f t="shared" si="6"/>
        <v>0</v>
      </c>
      <c r="L166" s="1" t="str">
        <f>IF(K166=TRUE,ROWS($J$3:J166),"")</f>
        <v/>
      </c>
      <c r="M166" s="1" t="str">
        <f>IFERROR(SMALL($L$3:$L$228,ROWS($L$3:L166)),"")</f>
        <v/>
      </c>
      <c r="N166" s="1" t="str">
        <f>IF(M166&lt;&gt;"",INDEX($G$3:$I$228,MATCH($M166,$L$3:$L$228,0),COLUMNS($L$3:L166)),"")</f>
        <v/>
      </c>
      <c r="O166" s="3" t="str">
        <f>IF(N166&lt;&gt;"",INDEX($G$3:$I$228,MATCH($M166,$L$3:$L$228,0),COLUMNS($L$3:M166)),"")</f>
        <v/>
      </c>
      <c r="P166" s="1" t="str">
        <f>IF(O166&lt;&gt;"",INDEX($G$3:$I$228,MATCH($M166,$L$3:$L$228,0),COLUMNS($L$3:N166)),"")</f>
        <v/>
      </c>
      <c r="S166" s="1" t="b">
        <f t="shared" si="7"/>
        <v>0</v>
      </c>
      <c r="T166" s="1" t="str">
        <f>IF(S166=TRUE,ROWS($S$3:S166),"")</f>
        <v/>
      </c>
      <c r="U166" s="1" t="str">
        <f>IFERROR(SMALL($T$3:$T$228,ROWS($T$3:T166)),"")</f>
        <v/>
      </c>
      <c r="V166" s="1" t="str">
        <f>IF(U166&lt;&gt;"",INDEX($G$3:$I$228,MATCH($U166,$T$3:$T$228,0),COLUMNS($U$3:U166)),"")</f>
        <v/>
      </c>
      <c r="W166" s="1" t="str">
        <f>IF(V166&lt;&gt;"",INDEX($G$3:$I$228,MATCH($U166,$T$3:$T$228,0),COLUMNS($U$3:V166)),"")</f>
        <v/>
      </c>
      <c r="X166" s="1" t="str">
        <f>IF(W166&lt;&gt;"",INDEX($G$3:$I$228,MATCH($U166,$T$3:$T$228,0),COLUMNS($U$3:W166)),"")</f>
        <v/>
      </c>
      <c r="Z166" s="1" t="b">
        <f t="shared" si="8"/>
        <v>1</v>
      </c>
      <c r="AA166" s="1">
        <f>IF(Z166=TRUE,ROWS($Z$3:Z166),"")</f>
        <v>164</v>
      </c>
      <c r="AB166" s="1">
        <f>IFERROR(SMALL($AA$3:$AA$228,ROWS($AA$3:AA166)),"")</f>
        <v>164</v>
      </c>
      <c r="AC166" s="1" t="str">
        <f>IF(AB166&lt;&gt;"",INDEX($G$3:$I$228,MATCH($AB166,$AA$3:$AA$228,0),COLUMNS($AA$3:AA166)),"")</f>
        <v>Naivas Utawala</v>
      </c>
      <c r="AD166" s="1">
        <f>IF(AC166&lt;&gt;"",INDEX($G$3:$I$228,MATCH($AB166,$AA$3:$AA$228,0),COLUMNS($AA$3:AB166)),"")</f>
        <v>30022.940000000002</v>
      </c>
      <c r="AE166" s="1" t="str">
        <f>IF(AD166&lt;&gt;"",INDEX($G$3:$I$228,MATCH($AB166,$AA$3:$AA$228,0),COLUMNS($AA$3:AC166)),"")</f>
        <v>Nairobi</v>
      </c>
    </row>
    <row r="167" spans="1:31" x14ac:dyDescent="0.2">
      <c r="A167" s="2">
        <v>44751</v>
      </c>
      <c r="B167" s="1" t="s">
        <v>51</v>
      </c>
      <c r="C167" s="1" t="s">
        <v>249</v>
      </c>
      <c r="D167" s="1">
        <v>132922</v>
      </c>
      <c r="E167" s="3">
        <v>41289.68</v>
      </c>
      <c r="F167" s="1" t="s">
        <v>11</v>
      </c>
      <c r="G167" s="1" t="s">
        <v>125</v>
      </c>
      <c r="H167" s="3">
        <f>SUMIFS(Table1[Value],Table1[Outlets],G167)</f>
        <v>30003.54</v>
      </c>
      <c r="I167" s="1" t="str">
        <f>IFERROR(VLOOKUP(G167,Table1[[Outlets]:[Region]],2,0),"")</f>
        <v>Nairobi</v>
      </c>
      <c r="K167" s="1" t="b">
        <f t="shared" si="6"/>
        <v>0</v>
      </c>
      <c r="L167" s="1" t="str">
        <f>IF(K167=TRUE,ROWS($J$3:J167),"")</f>
        <v/>
      </c>
      <c r="M167" s="1" t="str">
        <f>IFERROR(SMALL($L$3:$L$228,ROWS($L$3:L167)),"")</f>
        <v/>
      </c>
      <c r="N167" s="1" t="str">
        <f>IF(M167&lt;&gt;"",INDEX($G$3:$I$228,MATCH($M167,$L$3:$L$228,0),COLUMNS($L$3:L167)),"")</f>
        <v/>
      </c>
      <c r="O167" s="3" t="str">
        <f>IF(N167&lt;&gt;"",INDEX($G$3:$I$228,MATCH($M167,$L$3:$L$228,0),COLUMNS($L$3:M167)),"")</f>
        <v/>
      </c>
      <c r="P167" s="1" t="str">
        <f>IF(O167&lt;&gt;"",INDEX($G$3:$I$228,MATCH($M167,$L$3:$L$228,0),COLUMNS($L$3:N167)),"")</f>
        <v/>
      </c>
      <c r="S167" s="1" t="b">
        <f t="shared" si="7"/>
        <v>0</v>
      </c>
      <c r="T167" s="1" t="str">
        <f>IF(S167=TRUE,ROWS($S$3:S167),"")</f>
        <v/>
      </c>
      <c r="U167" s="1" t="str">
        <f>IFERROR(SMALL($T$3:$T$228,ROWS($T$3:T167)),"")</f>
        <v/>
      </c>
      <c r="V167" s="1" t="str">
        <f>IF(U167&lt;&gt;"",INDEX($G$3:$I$228,MATCH($U167,$T$3:$T$228,0),COLUMNS($U$3:U167)),"")</f>
        <v/>
      </c>
      <c r="W167" s="1" t="str">
        <f>IF(V167&lt;&gt;"",INDEX($G$3:$I$228,MATCH($U167,$T$3:$T$228,0),COLUMNS($U$3:V167)),"")</f>
        <v/>
      </c>
      <c r="X167" s="1" t="str">
        <f>IF(W167&lt;&gt;"",INDEX($G$3:$I$228,MATCH($U167,$T$3:$T$228,0),COLUMNS($U$3:W167)),"")</f>
        <v/>
      </c>
      <c r="Z167" s="1" t="b">
        <f t="shared" si="8"/>
        <v>1</v>
      </c>
      <c r="AA167" s="1">
        <f>IF(Z167=TRUE,ROWS($Z$3:Z167),"")</f>
        <v>165</v>
      </c>
      <c r="AB167" s="1">
        <f>IFERROR(SMALL($AA$3:$AA$228,ROWS($AA$3:AA167)),"")</f>
        <v>165</v>
      </c>
      <c r="AC167" s="1" t="str">
        <f>IF(AB167&lt;&gt;"",INDEX($G$3:$I$228,MATCH($AB167,$AA$3:$AA$228,0),COLUMNS($AA$3:AA167)),"")</f>
        <v>Defco Langata</v>
      </c>
      <c r="AD167" s="1">
        <f>IF(AC167&lt;&gt;"",INDEX($G$3:$I$228,MATCH($AB167,$AA$3:$AA$228,0),COLUMNS($AA$3:AB167)),"")</f>
        <v>30003.54</v>
      </c>
      <c r="AE167" s="1" t="str">
        <f>IF(AD167&lt;&gt;"",INDEX($G$3:$I$228,MATCH($AB167,$AA$3:$AA$228,0),COLUMNS($AA$3:AC167)),"")</f>
        <v>Nairobi</v>
      </c>
    </row>
    <row r="168" spans="1:31" x14ac:dyDescent="0.2">
      <c r="A168" s="2">
        <v>44751</v>
      </c>
      <c r="B168" s="1" t="s">
        <v>159</v>
      </c>
      <c r="C168" s="1" t="s">
        <v>250</v>
      </c>
      <c r="D168" s="1">
        <v>132923</v>
      </c>
      <c r="E168" s="3">
        <v>59679.15</v>
      </c>
      <c r="F168" s="1" t="s">
        <v>11</v>
      </c>
      <c r="G168" s="1" t="s">
        <v>160</v>
      </c>
      <c r="H168" s="3">
        <f>SUMIFS(Table1[Value],Table1[Outlets],G168)</f>
        <v>29907.989999999998</v>
      </c>
      <c r="I168" s="1" t="str">
        <f>IFERROR(VLOOKUP(G168,Table1[[Outlets]:[Region]],2,0),"")</f>
        <v>Nairobi</v>
      </c>
      <c r="K168" s="1" t="b">
        <f t="shared" si="6"/>
        <v>0</v>
      </c>
      <c r="L168" s="1" t="str">
        <f>IF(K168=TRUE,ROWS($J$3:J168),"")</f>
        <v/>
      </c>
      <c r="M168" s="1" t="str">
        <f>IFERROR(SMALL($L$3:$L$228,ROWS($L$3:L168)),"")</f>
        <v/>
      </c>
      <c r="N168" s="1" t="str">
        <f>IF(M168&lt;&gt;"",INDEX($G$3:$I$228,MATCH($M168,$L$3:$L$228,0),COLUMNS($L$3:L168)),"")</f>
        <v/>
      </c>
      <c r="O168" s="3" t="str">
        <f>IF(N168&lt;&gt;"",INDEX($G$3:$I$228,MATCH($M168,$L$3:$L$228,0),COLUMNS($L$3:M168)),"")</f>
        <v/>
      </c>
      <c r="P168" s="1" t="str">
        <f>IF(O168&lt;&gt;"",INDEX($G$3:$I$228,MATCH($M168,$L$3:$L$228,0),COLUMNS($L$3:N168)),"")</f>
        <v/>
      </c>
      <c r="S168" s="1" t="b">
        <f t="shared" si="7"/>
        <v>0</v>
      </c>
      <c r="T168" s="1" t="str">
        <f>IF(S168=TRUE,ROWS($S$3:S168),"")</f>
        <v/>
      </c>
      <c r="U168" s="1" t="str">
        <f>IFERROR(SMALL($T$3:$T$228,ROWS($T$3:T168)),"")</f>
        <v/>
      </c>
      <c r="V168" s="1" t="str">
        <f>IF(U168&lt;&gt;"",INDEX($G$3:$I$228,MATCH($U168,$T$3:$T$228,0),COLUMNS($U$3:U168)),"")</f>
        <v/>
      </c>
      <c r="W168" s="1" t="str">
        <f>IF(V168&lt;&gt;"",INDEX($G$3:$I$228,MATCH($U168,$T$3:$T$228,0),COLUMNS($U$3:V168)),"")</f>
        <v/>
      </c>
      <c r="X168" s="1" t="str">
        <f>IF(W168&lt;&gt;"",INDEX($G$3:$I$228,MATCH($U168,$T$3:$T$228,0),COLUMNS($U$3:W168)),"")</f>
        <v/>
      </c>
      <c r="Z168" s="1" t="b">
        <f t="shared" si="8"/>
        <v>1</v>
      </c>
      <c r="AA168" s="1">
        <f>IF(Z168=TRUE,ROWS($Z$3:Z168),"")</f>
        <v>166</v>
      </c>
      <c r="AB168" s="1">
        <f>IFERROR(SMALL($AA$3:$AA$228,ROWS($AA$3:AA168)),"")</f>
        <v>166</v>
      </c>
      <c r="AC168" s="1" t="str">
        <f>IF(AB168&lt;&gt;"",INDEX($G$3:$I$228,MATCH($AB168,$AA$3:$AA$228,0),COLUMNS($AA$3:AA168)),"")</f>
        <v>Naivas Limuru</v>
      </c>
      <c r="AD168" s="1">
        <f>IF(AC168&lt;&gt;"",INDEX($G$3:$I$228,MATCH($AB168,$AA$3:$AA$228,0),COLUMNS($AA$3:AB168)),"")</f>
        <v>29907.989999999998</v>
      </c>
      <c r="AE168" s="1" t="str">
        <f>IF(AD168&lt;&gt;"",INDEX($G$3:$I$228,MATCH($AB168,$AA$3:$AA$228,0),COLUMNS($AA$3:AC168)),"")</f>
        <v>Nairobi</v>
      </c>
    </row>
    <row r="169" spans="1:31" x14ac:dyDescent="0.2">
      <c r="A169" s="2">
        <v>44754</v>
      </c>
      <c r="B169" s="1" t="s">
        <v>64</v>
      </c>
      <c r="C169" s="1" t="s">
        <v>3</v>
      </c>
      <c r="D169" s="1">
        <v>132945</v>
      </c>
      <c r="E169" s="3">
        <v>53722.13</v>
      </c>
      <c r="F169" s="1" t="s">
        <v>8</v>
      </c>
      <c r="G169" s="1" t="s">
        <v>157</v>
      </c>
      <c r="H169" s="3">
        <f>SUMIFS(Table1[Value],Table1[Outlets],G169)</f>
        <v>29887.52</v>
      </c>
      <c r="I169" s="1" t="str">
        <f>IFERROR(VLOOKUP(G169,Table1[[Outlets]:[Region]],2,0),"")</f>
        <v>Nairobi</v>
      </c>
      <c r="K169" s="1" t="b">
        <f t="shared" si="6"/>
        <v>0</v>
      </c>
      <c r="L169" s="1" t="str">
        <f>IF(K169=TRUE,ROWS($J$3:J169),"")</f>
        <v/>
      </c>
      <c r="M169" s="1" t="str">
        <f>IFERROR(SMALL($L$3:$L$228,ROWS($L$3:L169)),"")</f>
        <v/>
      </c>
      <c r="N169" s="1" t="str">
        <f>IF(M169&lt;&gt;"",INDEX($G$3:$I$228,MATCH($M169,$L$3:$L$228,0),COLUMNS($L$3:L169)),"")</f>
        <v/>
      </c>
      <c r="O169" s="3" t="str">
        <f>IF(N169&lt;&gt;"",INDEX($G$3:$I$228,MATCH($M169,$L$3:$L$228,0),COLUMNS($L$3:M169)),"")</f>
        <v/>
      </c>
      <c r="P169" s="1" t="str">
        <f>IF(O169&lt;&gt;"",INDEX($G$3:$I$228,MATCH($M169,$L$3:$L$228,0),COLUMNS($L$3:N169)),"")</f>
        <v/>
      </c>
      <c r="S169" s="1" t="b">
        <f t="shared" si="7"/>
        <v>0</v>
      </c>
      <c r="T169" s="1" t="str">
        <f>IF(S169=TRUE,ROWS($S$3:S169),"")</f>
        <v/>
      </c>
      <c r="U169" s="1" t="str">
        <f>IFERROR(SMALL($T$3:$T$228,ROWS($T$3:T169)),"")</f>
        <v/>
      </c>
      <c r="V169" s="1" t="str">
        <f>IF(U169&lt;&gt;"",INDEX($G$3:$I$228,MATCH($U169,$T$3:$T$228,0),COLUMNS($U$3:U169)),"")</f>
        <v/>
      </c>
      <c r="W169" s="1" t="str">
        <f>IF(V169&lt;&gt;"",INDEX($G$3:$I$228,MATCH($U169,$T$3:$T$228,0),COLUMNS($U$3:V169)),"")</f>
        <v/>
      </c>
      <c r="X169" s="1" t="str">
        <f>IF(W169&lt;&gt;"",INDEX($G$3:$I$228,MATCH($U169,$T$3:$T$228,0),COLUMNS($U$3:W169)),"")</f>
        <v/>
      </c>
      <c r="Z169" s="1" t="b">
        <f t="shared" si="8"/>
        <v>1</v>
      </c>
      <c r="AA169" s="1">
        <f>IF(Z169=TRUE,ROWS($Z$3:Z169),"")</f>
        <v>167</v>
      </c>
      <c r="AB169" s="1">
        <f>IFERROR(SMALL($AA$3:$AA$228,ROWS($AA$3:AA169)),"")</f>
        <v>167</v>
      </c>
      <c r="AC169" s="1" t="str">
        <f>IF(AB169&lt;&gt;"",INDEX($G$3:$I$228,MATCH($AB169,$AA$3:$AA$228,0),COLUMNS($AA$3:AA169)),"")</f>
        <v>Kassmatt Thika</v>
      </c>
      <c r="AD169" s="1">
        <f>IF(AC169&lt;&gt;"",INDEX($G$3:$I$228,MATCH($AB169,$AA$3:$AA$228,0),COLUMNS($AA$3:AB169)),"")</f>
        <v>29887.52</v>
      </c>
      <c r="AE169" s="1" t="str">
        <f>IF(AD169&lt;&gt;"",INDEX($G$3:$I$228,MATCH($AB169,$AA$3:$AA$228,0),COLUMNS($AA$3:AC169)),"")</f>
        <v>Nairobi</v>
      </c>
    </row>
    <row r="170" spans="1:31" x14ac:dyDescent="0.2">
      <c r="A170" s="2">
        <v>44754</v>
      </c>
      <c r="B170" s="1" t="s">
        <v>69</v>
      </c>
      <c r="C170" s="1" t="s">
        <v>3</v>
      </c>
      <c r="D170" s="1">
        <v>132946</v>
      </c>
      <c r="E170" s="3">
        <v>128087.93</v>
      </c>
      <c r="F170" s="1" t="s">
        <v>8</v>
      </c>
      <c r="G170" s="1" t="s">
        <v>199</v>
      </c>
      <c r="H170" s="3">
        <f>SUMIFS(Table1[Value],Table1[Outlets],G170)</f>
        <v>28695.27</v>
      </c>
      <c r="I170" s="1" t="str">
        <f>IFERROR(VLOOKUP(G170,Table1[[Outlets]:[Region]],2,0),"")</f>
        <v>Nairobi</v>
      </c>
      <c r="K170" s="1" t="b">
        <f t="shared" si="6"/>
        <v>0</v>
      </c>
      <c r="L170" s="1" t="str">
        <f>IF(K170=TRUE,ROWS($J$3:J170),"")</f>
        <v/>
      </c>
      <c r="M170" s="1" t="str">
        <f>IFERROR(SMALL($L$3:$L$228,ROWS($L$3:L170)),"")</f>
        <v/>
      </c>
      <c r="N170" s="1" t="str">
        <f>IF(M170&lt;&gt;"",INDEX($G$3:$I$228,MATCH($M170,$L$3:$L$228,0),COLUMNS($L$3:L170)),"")</f>
        <v/>
      </c>
      <c r="O170" s="3" t="str">
        <f>IF(N170&lt;&gt;"",INDEX($G$3:$I$228,MATCH($M170,$L$3:$L$228,0),COLUMNS($L$3:M170)),"")</f>
        <v/>
      </c>
      <c r="P170" s="1" t="str">
        <f>IF(O170&lt;&gt;"",INDEX($G$3:$I$228,MATCH($M170,$L$3:$L$228,0),COLUMNS($L$3:N170)),"")</f>
        <v/>
      </c>
      <c r="S170" s="1" t="b">
        <f t="shared" si="7"/>
        <v>0</v>
      </c>
      <c r="T170" s="1" t="str">
        <f>IF(S170=TRUE,ROWS($S$3:S170),"")</f>
        <v/>
      </c>
      <c r="U170" s="1" t="str">
        <f>IFERROR(SMALL($T$3:$T$228,ROWS($T$3:T170)),"")</f>
        <v/>
      </c>
      <c r="V170" s="1" t="str">
        <f>IF(U170&lt;&gt;"",INDEX($G$3:$I$228,MATCH($U170,$T$3:$T$228,0),COLUMNS($U$3:U170)),"")</f>
        <v/>
      </c>
      <c r="W170" s="1" t="str">
        <f>IF(V170&lt;&gt;"",INDEX($G$3:$I$228,MATCH($U170,$T$3:$T$228,0),COLUMNS($U$3:V170)),"")</f>
        <v/>
      </c>
      <c r="X170" s="1" t="str">
        <f>IF(W170&lt;&gt;"",INDEX($G$3:$I$228,MATCH($U170,$T$3:$T$228,0),COLUMNS($U$3:W170)),"")</f>
        <v/>
      </c>
      <c r="Z170" s="1" t="b">
        <f t="shared" si="8"/>
        <v>1</v>
      </c>
      <c r="AA170" s="1">
        <f>IF(Z170=TRUE,ROWS($Z$3:Z170),"")</f>
        <v>168</v>
      </c>
      <c r="AB170" s="1">
        <f>IFERROR(SMALL($AA$3:$AA$228,ROWS($AA$3:AA170)),"")</f>
        <v>168</v>
      </c>
      <c r="AC170" s="1" t="str">
        <f>IF(AB170&lt;&gt;"",INDEX($G$3:$I$228,MATCH($AB170,$AA$3:$AA$228,0),COLUMNS($AA$3:AA170)),"")</f>
        <v>Naivas Machakos</v>
      </c>
      <c r="AD170" s="1">
        <f>IF(AC170&lt;&gt;"",INDEX($G$3:$I$228,MATCH($AB170,$AA$3:$AA$228,0),COLUMNS($AA$3:AB170)),"")</f>
        <v>28695.27</v>
      </c>
      <c r="AE170" s="1" t="str">
        <f>IF(AD170&lt;&gt;"",INDEX($G$3:$I$228,MATCH($AB170,$AA$3:$AA$228,0),COLUMNS($AA$3:AC170)),"")</f>
        <v>Nairobi</v>
      </c>
    </row>
    <row r="171" spans="1:31" x14ac:dyDescent="0.2">
      <c r="A171" s="2">
        <v>44754</v>
      </c>
      <c r="B171" s="1" t="s">
        <v>63</v>
      </c>
      <c r="C171" s="1" t="s">
        <v>3</v>
      </c>
      <c r="D171" s="1">
        <v>132947</v>
      </c>
      <c r="E171" s="3">
        <v>72494.13</v>
      </c>
      <c r="F171" s="1" t="s">
        <v>8</v>
      </c>
      <c r="G171" s="1" t="s">
        <v>152</v>
      </c>
      <c r="H171" s="3">
        <f>SUMIFS(Table1[Value],Table1[Outlets],G171)</f>
        <v>28620.67</v>
      </c>
      <c r="I171" s="1" t="str">
        <f>IFERROR(VLOOKUP(G171,Table1[[Outlets]:[Region]],2,0),"")</f>
        <v>Coast</v>
      </c>
      <c r="K171" s="1" t="b">
        <f t="shared" si="6"/>
        <v>1</v>
      </c>
      <c r="L171" s="1">
        <f>IF(K171=TRUE,ROWS($J$3:J171),"")</f>
        <v>169</v>
      </c>
      <c r="M171" s="1" t="str">
        <f>IFERROR(SMALL($L$3:$L$228,ROWS($L$3:L171)),"")</f>
        <v/>
      </c>
      <c r="N171" s="1" t="str">
        <f>IF(M171&lt;&gt;"",INDEX($G$3:$I$228,MATCH($M171,$L$3:$L$228,0),COLUMNS($L$3:L171)),"")</f>
        <v/>
      </c>
      <c r="O171" s="3" t="str">
        <f>IF(N171&lt;&gt;"",INDEX($G$3:$I$228,MATCH($M171,$L$3:$L$228,0),COLUMNS($L$3:M171)),"")</f>
        <v/>
      </c>
      <c r="P171" s="1" t="str">
        <f>IF(O171&lt;&gt;"",INDEX($G$3:$I$228,MATCH($M171,$L$3:$L$228,0),COLUMNS($L$3:N171)),"")</f>
        <v/>
      </c>
      <c r="S171" s="1" t="b">
        <f t="shared" si="7"/>
        <v>0</v>
      </c>
      <c r="T171" s="1" t="str">
        <f>IF(S171=TRUE,ROWS($S$3:S171),"")</f>
        <v/>
      </c>
      <c r="U171" s="1" t="str">
        <f>IFERROR(SMALL($T$3:$T$228,ROWS($T$3:T171)),"")</f>
        <v/>
      </c>
      <c r="V171" s="1" t="str">
        <f>IF(U171&lt;&gt;"",INDEX($G$3:$I$228,MATCH($U171,$T$3:$T$228,0),COLUMNS($U$3:U171)),"")</f>
        <v/>
      </c>
      <c r="W171" s="1" t="str">
        <f>IF(V171&lt;&gt;"",INDEX($G$3:$I$228,MATCH($U171,$T$3:$T$228,0),COLUMNS($U$3:V171)),"")</f>
        <v/>
      </c>
      <c r="X171" s="1" t="str">
        <f>IF(W171&lt;&gt;"",INDEX($G$3:$I$228,MATCH($U171,$T$3:$T$228,0),COLUMNS($U$3:W171)),"")</f>
        <v/>
      </c>
      <c r="Z171" s="1" t="b">
        <f t="shared" si="8"/>
        <v>1</v>
      </c>
      <c r="AA171" s="1">
        <f>IF(Z171=TRUE,ROWS($Z$3:Z171),"")</f>
        <v>169</v>
      </c>
      <c r="AB171" s="1">
        <f>IFERROR(SMALL($AA$3:$AA$228,ROWS($AA$3:AA171)),"")</f>
        <v>169</v>
      </c>
      <c r="AC171" s="1" t="str">
        <f>IF(AB171&lt;&gt;"",INDEX($G$3:$I$228,MATCH($AB171,$AA$3:$AA$228,0),COLUMNS($AA$3:AA171)),"")</f>
        <v>Chandarana Diani</v>
      </c>
      <c r="AD171" s="1">
        <f>IF(AC171&lt;&gt;"",INDEX($G$3:$I$228,MATCH($AB171,$AA$3:$AA$228,0),COLUMNS($AA$3:AB171)),"")</f>
        <v>28620.67</v>
      </c>
      <c r="AE171" s="1" t="str">
        <f>IF(AD171&lt;&gt;"",INDEX($G$3:$I$228,MATCH($AB171,$AA$3:$AA$228,0),COLUMNS($AA$3:AC171)),"")</f>
        <v>Coast</v>
      </c>
    </row>
    <row r="172" spans="1:31" x14ac:dyDescent="0.2">
      <c r="A172" s="2">
        <v>44754</v>
      </c>
      <c r="B172" s="1" t="s">
        <v>71</v>
      </c>
      <c r="C172" s="1" t="s">
        <v>3</v>
      </c>
      <c r="D172" s="1">
        <v>132948</v>
      </c>
      <c r="E172" s="3">
        <v>66212.479999999996</v>
      </c>
      <c r="F172" s="1" t="s">
        <v>8</v>
      </c>
      <c r="G172" s="1" t="s">
        <v>226</v>
      </c>
      <c r="H172" s="3">
        <f>SUMIFS(Table1[Value],Table1[Outlets],G172)</f>
        <v>27752.32</v>
      </c>
      <c r="I172" s="1" t="str">
        <f>IFERROR(VLOOKUP(G172,Table1[[Outlets]:[Region]],2,0),"")</f>
        <v>Nairobi</v>
      </c>
      <c r="K172" s="1" t="b">
        <f t="shared" si="6"/>
        <v>0</v>
      </c>
      <c r="L172" s="1" t="str">
        <f>IF(K172=TRUE,ROWS($J$3:J172),"")</f>
        <v/>
      </c>
      <c r="M172" s="1" t="str">
        <f>IFERROR(SMALL($L$3:$L$228,ROWS($L$3:L172)),"")</f>
        <v/>
      </c>
      <c r="N172" s="1" t="str">
        <f>IF(M172&lt;&gt;"",INDEX($G$3:$I$228,MATCH($M172,$L$3:$L$228,0),COLUMNS($L$3:L172)),"")</f>
        <v/>
      </c>
      <c r="O172" s="3" t="str">
        <f>IF(N172&lt;&gt;"",INDEX($G$3:$I$228,MATCH($M172,$L$3:$L$228,0),COLUMNS($L$3:M172)),"")</f>
        <v/>
      </c>
      <c r="P172" s="1" t="str">
        <f>IF(O172&lt;&gt;"",INDEX($G$3:$I$228,MATCH($M172,$L$3:$L$228,0),COLUMNS($L$3:N172)),"")</f>
        <v/>
      </c>
      <c r="S172" s="1" t="b">
        <f t="shared" si="7"/>
        <v>0</v>
      </c>
      <c r="T172" s="1" t="str">
        <f>IF(S172=TRUE,ROWS($S$3:S172),"")</f>
        <v/>
      </c>
      <c r="U172" s="1" t="str">
        <f>IFERROR(SMALL($T$3:$T$228,ROWS($T$3:T172)),"")</f>
        <v/>
      </c>
      <c r="V172" s="1" t="str">
        <f>IF(U172&lt;&gt;"",INDEX($G$3:$I$228,MATCH($U172,$T$3:$T$228,0),COLUMNS($U$3:U172)),"")</f>
        <v/>
      </c>
      <c r="W172" s="1" t="str">
        <f>IF(V172&lt;&gt;"",INDEX($G$3:$I$228,MATCH($U172,$T$3:$T$228,0),COLUMNS($U$3:V172)),"")</f>
        <v/>
      </c>
      <c r="X172" s="1" t="str">
        <f>IF(W172&lt;&gt;"",INDEX($G$3:$I$228,MATCH($U172,$T$3:$T$228,0),COLUMNS($U$3:W172)),"")</f>
        <v/>
      </c>
      <c r="Z172" s="1" t="b">
        <f t="shared" si="8"/>
        <v>1</v>
      </c>
      <c r="AA172" s="1">
        <f>IF(Z172=TRUE,ROWS($Z$3:Z172),"")</f>
        <v>170</v>
      </c>
      <c r="AB172" s="1">
        <f>IFERROR(SMALL($AA$3:$AA$228,ROWS($AA$3:AA172)),"")</f>
        <v>170</v>
      </c>
      <c r="AC172" s="1" t="str">
        <f>IF(AB172&lt;&gt;"",INDEX($G$3:$I$228,MATCH($AB172,$AA$3:$AA$228,0),COLUMNS($AA$3:AA172)),"")</f>
        <v>Quickmart Utawal Main</v>
      </c>
      <c r="AD172" s="1">
        <f>IF(AC172&lt;&gt;"",INDEX($G$3:$I$228,MATCH($AB172,$AA$3:$AA$228,0),COLUMNS($AA$3:AB172)),"")</f>
        <v>27752.32</v>
      </c>
      <c r="AE172" s="1" t="str">
        <f>IF(AD172&lt;&gt;"",INDEX($G$3:$I$228,MATCH($AB172,$AA$3:$AA$228,0),COLUMNS($AA$3:AC172)),"")</f>
        <v>Nairobi</v>
      </c>
    </row>
    <row r="173" spans="1:31" x14ac:dyDescent="0.2">
      <c r="A173" s="2">
        <v>44754</v>
      </c>
      <c r="B173" s="1" t="s">
        <v>68</v>
      </c>
      <c r="C173" s="1" t="s">
        <v>3</v>
      </c>
      <c r="D173" s="1">
        <v>132951</v>
      </c>
      <c r="E173" s="3">
        <v>282742.94</v>
      </c>
      <c r="F173" s="1" t="s">
        <v>8</v>
      </c>
      <c r="G173" s="1" t="s">
        <v>151</v>
      </c>
      <c r="H173" s="3">
        <f>SUMIFS(Table1[Value],Table1[Outlets],G173)</f>
        <v>27536.720000000001</v>
      </c>
      <c r="I173" s="1" t="str">
        <f>IFERROR(VLOOKUP(G173,Table1[[Outlets]:[Region]],2,0),"")</f>
        <v>Rift valley</v>
      </c>
      <c r="K173" s="1" t="b">
        <f t="shared" si="6"/>
        <v>0</v>
      </c>
      <c r="L173" s="1" t="str">
        <f>IF(K173=TRUE,ROWS($J$3:J173),"")</f>
        <v/>
      </c>
      <c r="M173" s="1" t="str">
        <f>IFERROR(SMALL($L$3:$L$228,ROWS($L$3:L173)),"")</f>
        <v/>
      </c>
      <c r="N173" s="1" t="str">
        <f>IF(M173&lt;&gt;"",INDEX($G$3:$I$228,MATCH($M173,$L$3:$L$228,0),COLUMNS($L$3:L173)),"")</f>
        <v/>
      </c>
      <c r="O173" s="3" t="str">
        <f>IF(N173&lt;&gt;"",INDEX($G$3:$I$228,MATCH($M173,$L$3:$L$228,0),COLUMNS($L$3:M173)),"")</f>
        <v/>
      </c>
      <c r="P173" s="1" t="str">
        <f>IF(O173&lt;&gt;"",INDEX($G$3:$I$228,MATCH($M173,$L$3:$L$228,0),COLUMNS($L$3:N173)),"")</f>
        <v/>
      </c>
      <c r="S173" s="1" t="b">
        <f t="shared" si="7"/>
        <v>0</v>
      </c>
      <c r="T173" s="1" t="str">
        <f>IF(S173=TRUE,ROWS($S$3:S173),"")</f>
        <v/>
      </c>
      <c r="U173" s="1" t="str">
        <f>IFERROR(SMALL($T$3:$T$228,ROWS($T$3:T173)),"")</f>
        <v/>
      </c>
      <c r="V173" s="1" t="str">
        <f>IF(U173&lt;&gt;"",INDEX($G$3:$I$228,MATCH($U173,$T$3:$T$228,0),COLUMNS($U$3:U173)),"")</f>
        <v/>
      </c>
      <c r="W173" s="1" t="str">
        <f>IF(V173&lt;&gt;"",INDEX($G$3:$I$228,MATCH($U173,$T$3:$T$228,0),COLUMNS($U$3:V173)),"")</f>
        <v/>
      </c>
      <c r="X173" s="1" t="str">
        <f>IF(W173&lt;&gt;"",INDEX($G$3:$I$228,MATCH($U173,$T$3:$T$228,0),COLUMNS($U$3:W173)),"")</f>
        <v/>
      </c>
      <c r="Z173" s="1" t="b">
        <f t="shared" si="8"/>
        <v>1</v>
      </c>
      <c r="AA173" s="1">
        <f>IF(Z173=TRUE,ROWS($Z$3:Z173),"")</f>
        <v>171</v>
      </c>
      <c r="AB173" s="1">
        <f>IFERROR(SMALL($AA$3:$AA$228,ROWS($AA$3:AA173)),"")</f>
        <v>171</v>
      </c>
      <c r="AC173" s="1" t="str">
        <f>IF(AB173&lt;&gt;"",INDEX($G$3:$I$228,MATCH($AB173,$AA$3:$AA$228,0),COLUMNS($AA$3:AA173)),"")</f>
        <v>Quickmart Nakuru</v>
      </c>
      <c r="AD173" s="1">
        <f>IF(AC173&lt;&gt;"",INDEX($G$3:$I$228,MATCH($AB173,$AA$3:$AA$228,0),COLUMNS($AA$3:AB173)),"")</f>
        <v>27536.720000000001</v>
      </c>
      <c r="AE173" s="1" t="str">
        <f>IF(AD173&lt;&gt;"",INDEX($G$3:$I$228,MATCH($AB173,$AA$3:$AA$228,0),COLUMNS($AA$3:AC173)),"")</f>
        <v>Rift valley</v>
      </c>
    </row>
    <row r="174" spans="1:31" x14ac:dyDescent="0.2">
      <c r="A174" s="2">
        <v>44754</v>
      </c>
      <c r="B174" s="1" t="s">
        <v>72</v>
      </c>
      <c r="C174" s="1" t="s">
        <v>3</v>
      </c>
      <c r="D174" s="1">
        <v>132955</v>
      </c>
      <c r="E174" s="3">
        <v>45912.49</v>
      </c>
      <c r="F174" s="1" t="s">
        <v>8</v>
      </c>
      <c r="G174" s="1" t="s">
        <v>215</v>
      </c>
      <c r="H174" s="3">
        <f>SUMIFS(Table1[Value],Table1[Outlets],G174)</f>
        <v>25661.62</v>
      </c>
      <c r="I174" s="1" t="str">
        <f>IFERROR(VLOOKUP(G174,Table1[[Outlets]:[Region]],2,0),"")</f>
        <v>Nairobi</v>
      </c>
      <c r="K174" s="1" t="b">
        <f t="shared" si="6"/>
        <v>0</v>
      </c>
      <c r="L174" s="1" t="str">
        <f>IF(K174=TRUE,ROWS($J$3:J174),"")</f>
        <v/>
      </c>
      <c r="M174" s="1" t="str">
        <f>IFERROR(SMALL($L$3:$L$228,ROWS($L$3:L174)),"")</f>
        <v/>
      </c>
      <c r="N174" s="1" t="str">
        <f>IF(M174&lt;&gt;"",INDEX($G$3:$I$228,MATCH($M174,$L$3:$L$228,0),COLUMNS($L$3:L174)),"")</f>
        <v/>
      </c>
      <c r="O174" s="3" t="str">
        <f>IF(N174&lt;&gt;"",INDEX($G$3:$I$228,MATCH($M174,$L$3:$L$228,0),COLUMNS($L$3:M174)),"")</f>
        <v/>
      </c>
      <c r="P174" s="1" t="str">
        <f>IF(O174&lt;&gt;"",INDEX($G$3:$I$228,MATCH($M174,$L$3:$L$228,0),COLUMNS($L$3:N174)),"")</f>
        <v/>
      </c>
      <c r="S174" s="1" t="b">
        <f t="shared" si="7"/>
        <v>0</v>
      </c>
      <c r="T174" s="1" t="str">
        <f>IF(S174=TRUE,ROWS($S$3:S174),"")</f>
        <v/>
      </c>
      <c r="U174" s="1" t="str">
        <f>IFERROR(SMALL($T$3:$T$228,ROWS($T$3:T174)),"")</f>
        <v/>
      </c>
      <c r="V174" s="1" t="str">
        <f>IF(U174&lt;&gt;"",INDEX($G$3:$I$228,MATCH($U174,$T$3:$T$228,0),COLUMNS($U$3:U174)),"")</f>
        <v/>
      </c>
      <c r="W174" s="1" t="str">
        <f>IF(V174&lt;&gt;"",INDEX($G$3:$I$228,MATCH($U174,$T$3:$T$228,0),COLUMNS($U$3:V174)),"")</f>
        <v/>
      </c>
      <c r="X174" s="1" t="str">
        <f>IF(W174&lt;&gt;"",INDEX($G$3:$I$228,MATCH($U174,$T$3:$T$228,0),COLUMNS($U$3:W174)),"")</f>
        <v/>
      </c>
      <c r="Z174" s="1" t="b">
        <f t="shared" si="8"/>
        <v>1</v>
      </c>
      <c r="AA174" s="1">
        <f>IF(Z174=TRUE,ROWS($Z$3:Z174),"")</f>
        <v>172</v>
      </c>
      <c r="AB174" s="1">
        <f>IFERROR(SMALL($AA$3:$AA$228,ROWS($AA$3:AA174)),"")</f>
        <v>172</v>
      </c>
      <c r="AC174" s="1" t="str">
        <f>IF(AB174&lt;&gt;"",INDEX($G$3:$I$228,MATCH($AB174,$AA$3:$AA$228,0),COLUMNS($AA$3:AA174)),"")</f>
        <v>Naivas Katani</v>
      </c>
      <c r="AD174" s="1">
        <f>IF(AC174&lt;&gt;"",INDEX($G$3:$I$228,MATCH($AB174,$AA$3:$AA$228,0),COLUMNS($AA$3:AB174)),"")</f>
        <v>25661.62</v>
      </c>
      <c r="AE174" s="1" t="str">
        <f>IF(AD174&lt;&gt;"",INDEX($G$3:$I$228,MATCH($AB174,$AA$3:$AA$228,0),COLUMNS($AA$3:AC174)),"")</f>
        <v>Nairobi</v>
      </c>
    </row>
    <row r="175" spans="1:31" x14ac:dyDescent="0.2">
      <c r="A175" s="2">
        <v>44754</v>
      </c>
      <c r="B175" s="1" t="s">
        <v>67</v>
      </c>
      <c r="C175" s="1" t="s">
        <v>3</v>
      </c>
      <c r="D175" s="1">
        <v>132956</v>
      </c>
      <c r="E175" s="3">
        <v>26326.5</v>
      </c>
      <c r="F175" s="1" t="s">
        <v>8</v>
      </c>
      <c r="G175" s="1" t="s">
        <v>23</v>
      </c>
      <c r="H175" s="3">
        <f>SUMIFS(Table1[Value],Table1[Outlets],G175)</f>
        <v>25628.309999999998</v>
      </c>
      <c r="I175" s="1" t="str">
        <f>IFERROR(VLOOKUP(G175,Table1[[Outlets]:[Region]],2,0),"")</f>
        <v>Nairobi</v>
      </c>
      <c r="K175" s="1" t="b">
        <f t="shared" si="6"/>
        <v>0</v>
      </c>
      <c r="L175" s="1" t="str">
        <f>IF(K175=TRUE,ROWS($J$3:J175),"")</f>
        <v/>
      </c>
      <c r="M175" s="1" t="str">
        <f>IFERROR(SMALL($L$3:$L$228,ROWS($L$3:L175)),"")</f>
        <v/>
      </c>
      <c r="N175" s="1" t="str">
        <f>IF(M175&lt;&gt;"",INDEX($G$3:$I$228,MATCH($M175,$L$3:$L$228,0),COLUMNS($L$3:L175)),"")</f>
        <v/>
      </c>
      <c r="O175" s="3" t="str">
        <f>IF(N175&lt;&gt;"",INDEX($G$3:$I$228,MATCH($M175,$L$3:$L$228,0),COLUMNS($L$3:M175)),"")</f>
        <v/>
      </c>
      <c r="P175" s="1" t="str">
        <f>IF(O175&lt;&gt;"",INDEX($G$3:$I$228,MATCH($M175,$L$3:$L$228,0),COLUMNS($L$3:N175)),"")</f>
        <v/>
      </c>
      <c r="S175" s="1" t="b">
        <f t="shared" si="7"/>
        <v>0</v>
      </c>
      <c r="T175" s="1" t="str">
        <f>IF(S175=TRUE,ROWS($S$3:S175),"")</f>
        <v/>
      </c>
      <c r="U175" s="1" t="str">
        <f>IFERROR(SMALL($T$3:$T$228,ROWS($T$3:T175)),"")</f>
        <v/>
      </c>
      <c r="V175" s="1" t="str">
        <f>IF(U175&lt;&gt;"",INDEX($G$3:$I$228,MATCH($U175,$T$3:$T$228,0),COLUMNS($U$3:U175)),"")</f>
        <v/>
      </c>
      <c r="W175" s="1" t="str">
        <f>IF(V175&lt;&gt;"",INDEX($G$3:$I$228,MATCH($U175,$T$3:$T$228,0),COLUMNS($U$3:V175)),"")</f>
        <v/>
      </c>
      <c r="X175" s="1" t="str">
        <f>IF(W175&lt;&gt;"",INDEX($G$3:$I$228,MATCH($U175,$T$3:$T$228,0),COLUMNS($U$3:W175)),"")</f>
        <v/>
      </c>
      <c r="Z175" s="1" t="b">
        <f t="shared" si="8"/>
        <v>1</v>
      </c>
      <c r="AA175" s="1">
        <f>IF(Z175=TRUE,ROWS($Z$3:Z175),"")</f>
        <v>173</v>
      </c>
      <c r="AB175" s="1">
        <f>IFERROR(SMALL($AA$3:$AA$228,ROWS($AA$3:AA175)),"")</f>
        <v>173</v>
      </c>
      <c r="AC175" s="1" t="str">
        <f>IF(AB175&lt;&gt;"",INDEX($G$3:$I$228,MATCH($AB175,$AA$3:$AA$228,0),COLUMNS($AA$3:AA175)),"")</f>
        <v>Naivas Thika Ananas</v>
      </c>
      <c r="AD175" s="1">
        <f>IF(AC175&lt;&gt;"",INDEX($G$3:$I$228,MATCH($AB175,$AA$3:$AA$228,0),COLUMNS($AA$3:AB175)),"")</f>
        <v>25628.309999999998</v>
      </c>
      <c r="AE175" s="1" t="str">
        <f>IF(AD175&lt;&gt;"",INDEX($G$3:$I$228,MATCH($AB175,$AA$3:$AA$228,0),COLUMNS($AA$3:AC175)),"")</f>
        <v>Nairobi</v>
      </c>
    </row>
    <row r="176" spans="1:31" x14ac:dyDescent="0.2">
      <c r="A176" s="2">
        <v>44754</v>
      </c>
      <c r="B176" s="1" t="s">
        <v>68</v>
      </c>
      <c r="C176" s="1" t="s">
        <v>3</v>
      </c>
      <c r="D176" s="1">
        <v>132957</v>
      </c>
      <c r="E176" s="3">
        <v>2497.5</v>
      </c>
      <c r="F176" s="1" t="s">
        <v>8</v>
      </c>
      <c r="G176" s="1" t="s">
        <v>167</v>
      </c>
      <c r="H176" s="3">
        <f>SUMIFS(Table1[Value],Table1[Outlets],G176)</f>
        <v>25510.62</v>
      </c>
      <c r="I176" s="1" t="str">
        <f>IFERROR(VLOOKUP(G176,Table1[[Outlets]:[Region]],2,0),"")</f>
        <v>Nairobi</v>
      </c>
      <c r="K176" s="1" t="b">
        <f t="shared" si="6"/>
        <v>0</v>
      </c>
      <c r="L176" s="1" t="str">
        <f>IF(K176=TRUE,ROWS($J$3:J176),"")</f>
        <v/>
      </c>
      <c r="M176" s="1" t="str">
        <f>IFERROR(SMALL($L$3:$L$228,ROWS($L$3:L176)),"")</f>
        <v/>
      </c>
      <c r="N176" s="1" t="str">
        <f>IF(M176&lt;&gt;"",INDEX($G$3:$I$228,MATCH($M176,$L$3:$L$228,0),COLUMNS($L$3:L176)),"")</f>
        <v/>
      </c>
      <c r="O176" s="3" t="str">
        <f>IF(N176&lt;&gt;"",INDEX($G$3:$I$228,MATCH($M176,$L$3:$L$228,0),COLUMNS($L$3:M176)),"")</f>
        <v/>
      </c>
      <c r="P176" s="1" t="str">
        <f>IF(O176&lt;&gt;"",INDEX($G$3:$I$228,MATCH($M176,$L$3:$L$228,0),COLUMNS($L$3:N176)),"")</f>
        <v/>
      </c>
      <c r="S176" s="1" t="b">
        <f t="shared" si="7"/>
        <v>0</v>
      </c>
      <c r="T176" s="1" t="str">
        <f>IF(S176=TRUE,ROWS($S$3:S176),"")</f>
        <v/>
      </c>
      <c r="U176" s="1" t="str">
        <f>IFERROR(SMALL($T$3:$T$228,ROWS($T$3:T176)),"")</f>
        <v/>
      </c>
      <c r="V176" s="1" t="str">
        <f>IF(U176&lt;&gt;"",INDEX($G$3:$I$228,MATCH($U176,$T$3:$T$228,0),COLUMNS($U$3:U176)),"")</f>
        <v/>
      </c>
      <c r="W176" s="1" t="str">
        <f>IF(V176&lt;&gt;"",INDEX($G$3:$I$228,MATCH($U176,$T$3:$T$228,0),COLUMNS($U$3:V176)),"")</f>
        <v/>
      </c>
      <c r="X176" s="1" t="str">
        <f>IF(W176&lt;&gt;"",INDEX($G$3:$I$228,MATCH($U176,$T$3:$T$228,0),COLUMNS($U$3:W176)),"")</f>
        <v/>
      </c>
      <c r="Z176" s="1" t="b">
        <f t="shared" si="8"/>
        <v>1</v>
      </c>
      <c r="AA176" s="1">
        <f>IF(Z176=TRUE,ROWS($Z$3:Z176),"")</f>
        <v>174</v>
      </c>
      <c r="AB176" s="1">
        <f>IFERROR(SMALL($AA$3:$AA$228,ROWS($AA$3:AA176)),"")</f>
        <v>174</v>
      </c>
      <c r="AC176" s="1" t="str">
        <f>IF(AB176&lt;&gt;"",INDEX($G$3:$I$228,MATCH($AB176,$AA$3:$AA$228,0),COLUMNS($AA$3:AA176)),"")</f>
        <v>Naivas Thika Town</v>
      </c>
      <c r="AD176" s="1">
        <f>IF(AC176&lt;&gt;"",INDEX($G$3:$I$228,MATCH($AB176,$AA$3:$AA$228,0),COLUMNS($AA$3:AB176)),"")</f>
        <v>25510.62</v>
      </c>
      <c r="AE176" s="1" t="str">
        <f>IF(AD176&lt;&gt;"",INDEX($G$3:$I$228,MATCH($AB176,$AA$3:$AA$228,0),COLUMNS($AA$3:AC176)),"")</f>
        <v>Nairobi</v>
      </c>
    </row>
    <row r="177" spans="1:31" x14ac:dyDescent="0.2">
      <c r="A177" s="2">
        <v>44754</v>
      </c>
      <c r="B177" s="1" t="s">
        <v>160</v>
      </c>
      <c r="C177" s="1" t="s">
        <v>3</v>
      </c>
      <c r="D177" s="1">
        <v>132958</v>
      </c>
      <c r="E177" s="3">
        <v>11463.37</v>
      </c>
      <c r="F177" s="1" t="s">
        <v>11</v>
      </c>
      <c r="G177" s="1" t="s">
        <v>128</v>
      </c>
      <c r="H177" s="3">
        <f>SUMIFS(Table1[Value],Table1[Outlets],G177)</f>
        <v>25495.86</v>
      </c>
      <c r="I177" s="1" t="str">
        <f>IFERROR(VLOOKUP(G177,Table1[[Outlets]:[Region]],2,0),"")</f>
        <v>Nairobi</v>
      </c>
      <c r="K177" s="1" t="b">
        <f t="shared" si="6"/>
        <v>0</v>
      </c>
      <c r="L177" s="1" t="str">
        <f>IF(K177=TRUE,ROWS($J$3:J177),"")</f>
        <v/>
      </c>
      <c r="M177" s="1" t="str">
        <f>IFERROR(SMALL($L$3:$L$228,ROWS($L$3:L177)),"")</f>
        <v/>
      </c>
      <c r="N177" s="1" t="str">
        <f>IF(M177&lt;&gt;"",INDEX($G$3:$I$228,MATCH($M177,$L$3:$L$228,0),COLUMNS($L$3:L177)),"")</f>
        <v/>
      </c>
      <c r="O177" s="3" t="str">
        <f>IF(N177&lt;&gt;"",INDEX($G$3:$I$228,MATCH($M177,$L$3:$L$228,0),COLUMNS($L$3:M177)),"")</f>
        <v/>
      </c>
      <c r="P177" s="1" t="str">
        <f>IF(O177&lt;&gt;"",INDEX($G$3:$I$228,MATCH($M177,$L$3:$L$228,0),COLUMNS($L$3:N177)),"")</f>
        <v/>
      </c>
      <c r="S177" s="1" t="b">
        <f t="shared" si="7"/>
        <v>0</v>
      </c>
      <c r="T177" s="1" t="str">
        <f>IF(S177=TRUE,ROWS($S$3:S177),"")</f>
        <v/>
      </c>
      <c r="U177" s="1" t="str">
        <f>IFERROR(SMALL($T$3:$T$228,ROWS($T$3:T177)),"")</f>
        <v/>
      </c>
      <c r="V177" s="1" t="str">
        <f>IF(U177&lt;&gt;"",INDEX($G$3:$I$228,MATCH($U177,$T$3:$T$228,0),COLUMNS($U$3:U177)),"")</f>
        <v/>
      </c>
      <c r="W177" s="1" t="str">
        <f>IF(V177&lt;&gt;"",INDEX($G$3:$I$228,MATCH($U177,$T$3:$T$228,0),COLUMNS($U$3:V177)),"")</f>
        <v/>
      </c>
      <c r="X177" s="1" t="str">
        <f>IF(W177&lt;&gt;"",INDEX($G$3:$I$228,MATCH($U177,$T$3:$T$228,0),COLUMNS($U$3:W177)),"")</f>
        <v/>
      </c>
      <c r="Z177" s="1" t="b">
        <f t="shared" si="8"/>
        <v>1</v>
      </c>
      <c r="AA177" s="1">
        <f>IF(Z177=TRUE,ROWS($Z$3:Z177),"")</f>
        <v>175</v>
      </c>
      <c r="AB177" s="1">
        <f>IFERROR(SMALL($AA$3:$AA$228,ROWS($AA$3:AA177)),"")</f>
        <v>175</v>
      </c>
      <c r="AC177" s="1" t="str">
        <f>IF(AB177&lt;&gt;"",INDEX($G$3:$I$228,MATCH($AB177,$AA$3:$AA$228,0),COLUMNS($AA$3:AA177)),"")</f>
        <v>Quickmart Utawala Main</v>
      </c>
      <c r="AD177" s="1">
        <f>IF(AC177&lt;&gt;"",INDEX($G$3:$I$228,MATCH($AB177,$AA$3:$AA$228,0),COLUMNS($AA$3:AB177)),"")</f>
        <v>25495.86</v>
      </c>
      <c r="AE177" s="1" t="str">
        <f>IF(AD177&lt;&gt;"",INDEX($G$3:$I$228,MATCH($AB177,$AA$3:$AA$228,0),COLUMNS($AA$3:AC177)),"")</f>
        <v>Nairobi</v>
      </c>
    </row>
    <row r="178" spans="1:31" x14ac:dyDescent="0.2">
      <c r="A178" s="2">
        <v>44754</v>
      </c>
      <c r="B178" s="1" t="s">
        <v>65</v>
      </c>
      <c r="C178" s="1" t="s">
        <v>3</v>
      </c>
      <c r="D178" s="1">
        <v>132960</v>
      </c>
      <c r="E178" s="3">
        <v>497526.21</v>
      </c>
      <c r="F178" s="1" t="s">
        <v>8</v>
      </c>
      <c r="G178" s="1" t="s">
        <v>218</v>
      </c>
      <c r="H178" s="3">
        <f>SUMIFS(Table1[Value],Table1[Outlets],G178)</f>
        <v>25488.239999999998</v>
      </c>
      <c r="I178" s="1" t="str">
        <f>IFERROR(VLOOKUP(G178,Table1[[Outlets]:[Region]],2,0),"")</f>
        <v>Nairobi</v>
      </c>
      <c r="K178" s="1" t="b">
        <f t="shared" si="6"/>
        <v>0</v>
      </c>
      <c r="L178" s="1" t="str">
        <f>IF(K178=TRUE,ROWS($J$3:J178),"")</f>
        <v/>
      </c>
      <c r="M178" s="1" t="str">
        <f>IFERROR(SMALL($L$3:$L$228,ROWS($L$3:L178)),"")</f>
        <v/>
      </c>
      <c r="N178" s="1" t="str">
        <f>IF(M178&lt;&gt;"",INDEX($G$3:$I$228,MATCH($M178,$L$3:$L$228,0),COLUMNS($L$3:L178)),"")</f>
        <v/>
      </c>
      <c r="O178" s="3" t="str">
        <f>IF(N178&lt;&gt;"",INDEX($G$3:$I$228,MATCH($M178,$L$3:$L$228,0),COLUMNS($L$3:M178)),"")</f>
        <v/>
      </c>
      <c r="P178" s="1" t="str">
        <f>IF(O178&lt;&gt;"",INDEX($G$3:$I$228,MATCH($M178,$L$3:$L$228,0),COLUMNS($L$3:N178)),"")</f>
        <v/>
      </c>
      <c r="S178" s="1" t="b">
        <f t="shared" si="7"/>
        <v>0</v>
      </c>
      <c r="T178" s="1" t="str">
        <f>IF(S178=TRUE,ROWS($S$3:S178),"")</f>
        <v/>
      </c>
      <c r="U178" s="1" t="str">
        <f>IFERROR(SMALL($T$3:$T$228,ROWS($T$3:T178)),"")</f>
        <v/>
      </c>
      <c r="V178" s="1" t="str">
        <f>IF(U178&lt;&gt;"",INDEX($G$3:$I$228,MATCH($U178,$T$3:$T$228,0),COLUMNS($U$3:U178)),"")</f>
        <v/>
      </c>
      <c r="W178" s="1" t="str">
        <f>IF(V178&lt;&gt;"",INDEX($G$3:$I$228,MATCH($U178,$T$3:$T$228,0),COLUMNS($U$3:V178)),"")</f>
        <v/>
      </c>
      <c r="X178" s="1" t="str">
        <f>IF(W178&lt;&gt;"",INDEX($G$3:$I$228,MATCH($U178,$T$3:$T$228,0),COLUMNS($U$3:W178)),"")</f>
        <v/>
      </c>
      <c r="Z178" s="1" t="b">
        <f t="shared" si="8"/>
        <v>1</v>
      </c>
      <c r="AA178" s="1">
        <f>IF(Z178=TRUE,ROWS($Z$3:Z178),"")</f>
        <v>176</v>
      </c>
      <c r="AB178" s="1">
        <f>IFERROR(SMALL($AA$3:$AA$228,ROWS($AA$3:AA178)),"")</f>
        <v>176</v>
      </c>
      <c r="AC178" s="1" t="str">
        <f>IF(AB178&lt;&gt;"",INDEX($G$3:$I$228,MATCH($AB178,$AA$3:$AA$228,0),COLUMNS($AA$3:AA178)),"")</f>
        <v>Kassmatt Githurai</v>
      </c>
      <c r="AD178" s="1">
        <f>IF(AC178&lt;&gt;"",INDEX($G$3:$I$228,MATCH($AB178,$AA$3:$AA$228,0),COLUMNS($AA$3:AB178)),"")</f>
        <v>25488.239999999998</v>
      </c>
      <c r="AE178" s="1" t="str">
        <f>IF(AD178&lt;&gt;"",INDEX($G$3:$I$228,MATCH($AB178,$AA$3:$AA$228,0),COLUMNS($AA$3:AC178)),"")</f>
        <v>Nairobi</v>
      </c>
    </row>
    <row r="179" spans="1:31" x14ac:dyDescent="0.2">
      <c r="A179" s="2">
        <v>44754</v>
      </c>
      <c r="B179" s="1" t="s">
        <v>99</v>
      </c>
      <c r="C179" s="1" t="s">
        <v>3</v>
      </c>
      <c r="D179" s="1">
        <v>132962</v>
      </c>
      <c r="E179" s="3">
        <v>12358.76</v>
      </c>
      <c r="F179" s="1" t="s">
        <v>11</v>
      </c>
      <c r="G179" s="1" t="s">
        <v>123</v>
      </c>
      <c r="H179" s="3">
        <f>SUMIFS(Table1[Value],Table1[Outlets],G179)</f>
        <v>25040.97</v>
      </c>
      <c r="I179" s="1" t="str">
        <f>IFERROR(VLOOKUP(G179,Table1[[Outlets]:[Region]],2,0),"")</f>
        <v>Nairobi</v>
      </c>
      <c r="K179" s="1" t="b">
        <f t="shared" si="6"/>
        <v>0</v>
      </c>
      <c r="L179" s="1" t="str">
        <f>IF(K179=TRUE,ROWS($J$3:J179),"")</f>
        <v/>
      </c>
      <c r="M179" s="1" t="str">
        <f>IFERROR(SMALL($L$3:$L$228,ROWS($L$3:L179)),"")</f>
        <v/>
      </c>
      <c r="N179" s="1" t="str">
        <f>IF(M179&lt;&gt;"",INDEX($G$3:$I$228,MATCH($M179,$L$3:$L$228,0),COLUMNS($L$3:L179)),"")</f>
        <v/>
      </c>
      <c r="O179" s="3" t="str">
        <f>IF(N179&lt;&gt;"",INDEX($G$3:$I$228,MATCH($M179,$L$3:$L$228,0),COLUMNS($L$3:M179)),"")</f>
        <v/>
      </c>
      <c r="P179" s="1" t="str">
        <f>IF(O179&lt;&gt;"",INDEX($G$3:$I$228,MATCH($M179,$L$3:$L$228,0),COLUMNS($L$3:N179)),"")</f>
        <v/>
      </c>
      <c r="S179" s="1" t="b">
        <f t="shared" si="7"/>
        <v>0</v>
      </c>
      <c r="T179" s="1" t="str">
        <f>IF(S179=TRUE,ROWS($S$3:S179),"")</f>
        <v/>
      </c>
      <c r="U179" s="1" t="str">
        <f>IFERROR(SMALL($T$3:$T$228,ROWS($T$3:T179)),"")</f>
        <v/>
      </c>
      <c r="V179" s="1" t="str">
        <f>IF(U179&lt;&gt;"",INDEX($G$3:$I$228,MATCH($U179,$T$3:$T$228,0),COLUMNS($U$3:U179)),"")</f>
        <v/>
      </c>
      <c r="W179" s="1" t="str">
        <f>IF(V179&lt;&gt;"",INDEX($G$3:$I$228,MATCH($U179,$T$3:$T$228,0),COLUMNS($U$3:V179)),"")</f>
        <v/>
      </c>
      <c r="X179" s="1" t="str">
        <f>IF(W179&lt;&gt;"",INDEX($G$3:$I$228,MATCH($U179,$T$3:$T$228,0),COLUMNS($U$3:W179)),"")</f>
        <v/>
      </c>
      <c r="Z179" s="1" t="b">
        <f t="shared" si="8"/>
        <v>1</v>
      </c>
      <c r="AA179" s="1">
        <f>IF(Z179=TRUE,ROWS($Z$3:Z179),"")</f>
        <v>177</v>
      </c>
      <c r="AB179" s="1">
        <f>IFERROR(SMALL($AA$3:$AA$228,ROWS($AA$3:AA179)),"")</f>
        <v>177</v>
      </c>
      <c r="AC179" s="1" t="str">
        <f>IF(AB179&lt;&gt;"",INDEX($G$3:$I$228,MATCH($AB179,$AA$3:$AA$228,0),COLUMNS($AA$3:AA179)),"")</f>
        <v>Naivas Langata</v>
      </c>
      <c r="AD179" s="1">
        <f>IF(AC179&lt;&gt;"",INDEX($G$3:$I$228,MATCH($AB179,$AA$3:$AA$228,0),COLUMNS($AA$3:AB179)),"")</f>
        <v>25040.97</v>
      </c>
      <c r="AE179" s="1" t="str">
        <f>IF(AD179&lt;&gt;"",INDEX($G$3:$I$228,MATCH($AB179,$AA$3:$AA$228,0),COLUMNS($AA$3:AC179)),"")</f>
        <v>Nairobi</v>
      </c>
    </row>
    <row r="180" spans="1:31" x14ac:dyDescent="0.2">
      <c r="A180" s="2">
        <v>44754</v>
      </c>
      <c r="B180" s="1" t="s">
        <v>161</v>
      </c>
      <c r="C180" s="1" t="s">
        <v>3</v>
      </c>
      <c r="D180" s="1">
        <v>132964</v>
      </c>
      <c r="E180" s="3">
        <v>26789.23</v>
      </c>
      <c r="F180" s="1" t="s">
        <v>11</v>
      </c>
      <c r="G180" s="1" t="s">
        <v>124</v>
      </c>
      <c r="H180" s="3">
        <f>SUMIFS(Table1[Value],Table1[Outlets],G180)</f>
        <v>24885.79</v>
      </c>
      <c r="I180" s="1" t="str">
        <f>IFERROR(VLOOKUP(G180,Table1[[Outlets]:[Region]],2,0),"")</f>
        <v>Nairobi</v>
      </c>
      <c r="K180" s="1" t="b">
        <f t="shared" si="6"/>
        <v>0</v>
      </c>
      <c r="L180" s="1" t="str">
        <f>IF(K180=TRUE,ROWS($J$3:J180),"")</f>
        <v/>
      </c>
      <c r="M180" s="1" t="str">
        <f>IFERROR(SMALL($L$3:$L$228,ROWS($L$3:L180)),"")</f>
        <v/>
      </c>
      <c r="N180" s="1" t="str">
        <f>IF(M180&lt;&gt;"",INDEX($G$3:$I$228,MATCH($M180,$L$3:$L$228,0),COLUMNS($L$3:L180)),"")</f>
        <v/>
      </c>
      <c r="O180" s="3" t="str">
        <f>IF(N180&lt;&gt;"",INDEX($G$3:$I$228,MATCH($M180,$L$3:$L$228,0),COLUMNS($L$3:M180)),"")</f>
        <v/>
      </c>
      <c r="P180" s="1" t="str">
        <f>IF(O180&lt;&gt;"",INDEX($G$3:$I$228,MATCH($M180,$L$3:$L$228,0),COLUMNS($L$3:N180)),"")</f>
        <v/>
      </c>
      <c r="S180" s="1" t="b">
        <f t="shared" si="7"/>
        <v>0</v>
      </c>
      <c r="T180" s="1" t="str">
        <f>IF(S180=TRUE,ROWS($S$3:S180),"")</f>
        <v/>
      </c>
      <c r="U180" s="1" t="str">
        <f>IFERROR(SMALL($T$3:$T$228,ROWS($T$3:T180)),"")</f>
        <v/>
      </c>
      <c r="V180" s="1" t="str">
        <f>IF(U180&lt;&gt;"",INDEX($G$3:$I$228,MATCH($U180,$T$3:$T$228,0),COLUMNS($U$3:U180)),"")</f>
        <v/>
      </c>
      <c r="W180" s="1" t="str">
        <f>IF(V180&lt;&gt;"",INDEX($G$3:$I$228,MATCH($U180,$T$3:$T$228,0),COLUMNS($U$3:V180)),"")</f>
        <v/>
      </c>
      <c r="X180" s="1" t="str">
        <f>IF(W180&lt;&gt;"",INDEX($G$3:$I$228,MATCH($U180,$T$3:$T$228,0),COLUMNS($U$3:W180)),"")</f>
        <v/>
      </c>
      <c r="Z180" s="1" t="b">
        <f t="shared" si="8"/>
        <v>1</v>
      </c>
      <c r="AA180" s="1">
        <f>IF(Z180=TRUE,ROWS($Z$3:Z180),"")</f>
        <v>178</v>
      </c>
      <c r="AB180" s="1">
        <f>IFERROR(SMALL($AA$3:$AA$228,ROWS($AA$3:AA180)),"")</f>
        <v>178</v>
      </c>
      <c r="AC180" s="1" t="str">
        <f>IF(AB180&lt;&gt;"",INDEX($G$3:$I$228,MATCH($AB180,$AA$3:$AA$228,0),COLUMNS($AA$3:AA180)),"")</f>
        <v>Naivas Express Embakassi</v>
      </c>
      <c r="AD180" s="1">
        <f>IF(AC180&lt;&gt;"",INDEX($G$3:$I$228,MATCH($AB180,$AA$3:$AA$228,0),COLUMNS($AA$3:AB180)),"")</f>
        <v>24885.79</v>
      </c>
      <c r="AE180" s="1" t="str">
        <f>IF(AD180&lt;&gt;"",INDEX($G$3:$I$228,MATCH($AB180,$AA$3:$AA$228,0),COLUMNS($AA$3:AC180)),"")</f>
        <v>Nairobi</v>
      </c>
    </row>
    <row r="181" spans="1:31" x14ac:dyDescent="0.2">
      <c r="A181" s="2">
        <v>44754</v>
      </c>
      <c r="B181" s="1" t="s">
        <v>70</v>
      </c>
      <c r="C181" s="1" t="s">
        <v>3</v>
      </c>
      <c r="D181" s="1">
        <v>132965</v>
      </c>
      <c r="E181" s="3">
        <v>110233.87</v>
      </c>
      <c r="F181" s="1" t="s">
        <v>8</v>
      </c>
      <c r="G181" s="1" t="s">
        <v>232</v>
      </c>
      <c r="H181" s="3">
        <f>SUMIFS(Table1[Value],Table1[Outlets],G181)</f>
        <v>24048.61</v>
      </c>
      <c r="I181" s="1" t="str">
        <f>IFERROR(VLOOKUP(G181,Table1[[Outlets]:[Region]],2,0),"")</f>
        <v>Rift valley</v>
      </c>
      <c r="K181" s="1" t="b">
        <f t="shared" si="6"/>
        <v>0</v>
      </c>
      <c r="L181" s="1" t="str">
        <f>IF(K181=TRUE,ROWS($J$3:J181),"")</f>
        <v/>
      </c>
      <c r="M181" s="1" t="str">
        <f>IFERROR(SMALL($L$3:$L$228,ROWS($L$3:L181)),"")</f>
        <v/>
      </c>
      <c r="N181" s="1" t="str">
        <f>IF(M181&lt;&gt;"",INDEX($G$3:$I$228,MATCH($M181,$L$3:$L$228,0),COLUMNS($L$3:L181)),"")</f>
        <v/>
      </c>
      <c r="O181" s="3" t="str">
        <f>IF(N181&lt;&gt;"",INDEX($G$3:$I$228,MATCH($M181,$L$3:$L$228,0),COLUMNS($L$3:M181)),"")</f>
        <v/>
      </c>
      <c r="P181" s="1" t="str">
        <f>IF(O181&lt;&gt;"",INDEX($G$3:$I$228,MATCH($M181,$L$3:$L$228,0),COLUMNS($L$3:N181)),"")</f>
        <v/>
      </c>
      <c r="S181" s="1" t="b">
        <f t="shared" si="7"/>
        <v>0</v>
      </c>
      <c r="T181" s="1" t="str">
        <f>IF(S181=TRUE,ROWS($S$3:S181),"")</f>
        <v/>
      </c>
      <c r="U181" s="1" t="str">
        <f>IFERROR(SMALL($T$3:$T$228,ROWS($T$3:T181)),"")</f>
        <v/>
      </c>
      <c r="V181" s="1" t="str">
        <f>IF(U181&lt;&gt;"",INDEX($G$3:$I$228,MATCH($U181,$T$3:$T$228,0),COLUMNS($U$3:U181)),"")</f>
        <v/>
      </c>
      <c r="W181" s="1" t="str">
        <f>IF(V181&lt;&gt;"",INDEX($G$3:$I$228,MATCH($U181,$T$3:$T$228,0),COLUMNS($U$3:V181)),"")</f>
        <v/>
      </c>
      <c r="X181" s="1" t="str">
        <f>IF(W181&lt;&gt;"",INDEX($G$3:$I$228,MATCH($U181,$T$3:$T$228,0),COLUMNS($U$3:W181)),"")</f>
        <v/>
      </c>
      <c r="Z181" s="1" t="b">
        <f t="shared" si="8"/>
        <v>1</v>
      </c>
      <c r="AA181" s="1">
        <f>IF(Z181=TRUE,ROWS($Z$3:Z181),"")</f>
        <v>179</v>
      </c>
      <c r="AB181" s="1">
        <f>IFERROR(SMALL($AA$3:$AA$228,ROWS($AA$3:AA181)),"")</f>
        <v>179</v>
      </c>
      <c r="AC181" s="1" t="str">
        <f>IF(AB181&lt;&gt;"",INDEX($G$3:$I$228,MATCH($AB181,$AA$3:$AA$228,0),COLUMNS($AA$3:AA181)),"")</f>
        <v>Naivas Naivasha Ndogo</v>
      </c>
      <c r="AD181" s="1">
        <f>IF(AC181&lt;&gt;"",INDEX($G$3:$I$228,MATCH($AB181,$AA$3:$AA$228,0),COLUMNS($AA$3:AB181)),"")</f>
        <v>24048.61</v>
      </c>
      <c r="AE181" s="1" t="str">
        <f>IF(AD181&lt;&gt;"",INDEX($G$3:$I$228,MATCH($AB181,$AA$3:$AA$228,0),COLUMNS($AA$3:AC181)),"")</f>
        <v>Rift valley</v>
      </c>
    </row>
    <row r="182" spans="1:31" x14ac:dyDescent="0.2">
      <c r="A182" s="2">
        <v>44754</v>
      </c>
      <c r="B182" s="1" t="s">
        <v>66</v>
      </c>
      <c r="C182" s="1" t="s">
        <v>3</v>
      </c>
      <c r="D182" s="1">
        <v>132967</v>
      </c>
      <c r="E182" s="3">
        <v>106212.41</v>
      </c>
      <c r="F182" s="1" t="s">
        <v>8</v>
      </c>
      <c r="G182" s="1" t="s">
        <v>241</v>
      </c>
      <c r="H182" s="3">
        <f>SUMIFS(Table1[Value],Table1[Outlets],G182)</f>
        <v>23890.71</v>
      </c>
      <c r="I182" s="1" t="str">
        <f>IFERROR(VLOOKUP(G182,Table1[[Outlets]:[Region]],2,0),"")</f>
        <v>Central</v>
      </c>
      <c r="K182" s="1" t="b">
        <f t="shared" si="6"/>
        <v>0</v>
      </c>
      <c r="L182" s="1" t="str">
        <f>IF(K182=TRUE,ROWS($J$3:J182),"")</f>
        <v/>
      </c>
      <c r="M182" s="1" t="str">
        <f>IFERROR(SMALL($L$3:$L$228,ROWS($L$3:L182)),"")</f>
        <v/>
      </c>
      <c r="N182" s="1" t="str">
        <f>IF(M182&lt;&gt;"",INDEX($G$3:$I$228,MATCH($M182,$L$3:$L$228,0),COLUMNS($L$3:L182)),"")</f>
        <v/>
      </c>
      <c r="O182" s="3" t="str">
        <f>IF(N182&lt;&gt;"",INDEX($G$3:$I$228,MATCH($M182,$L$3:$L$228,0),COLUMNS($L$3:M182)),"")</f>
        <v/>
      </c>
      <c r="P182" s="1" t="str">
        <f>IF(O182&lt;&gt;"",INDEX($G$3:$I$228,MATCH($M182,$L$3:$L$228,0),COLUMNS($L$3:N182)),"")</f>
        <v/>
      </c>
      <c r="S182" s="1" t="b">
        <f t="shared" si="7"/>
        <v>0</v>
      </c>
      <c r="T182" s="1" t="str">
        <f>IF(S182=TRUE,ROWS($S$3:S182),"")</f>
        <v/>
      </c>
      <c r="U182" s="1" t="str">
        <f>IFERROR(SMALL($T$3:$T$228,ROWS($T$3:T182)),"")</f>
        <v/>
      </c>
      <c r="V182" s="1" t="str">
        <f>IF(U182&lt;&gt;"",INDEX($G$3:$I$228,MATCH($U182,$T$3:$T$228,0),COLUMNS($U$3:U182)),"")</f>
        <v/>
      </c>
      <c r="W182" s="1" t="str">
        <f>IF(V182&lt;&gt;"",INDEX($G$3:$I$228,MATCH($U182,$T$3:$T$228,0),COLUMNS($U$3:V182)),"")</f>
        <v/>
      </c>
      <c r="X182" s="1" t="str">
        <f>IF(W182&lt;&gt;"",INDEX($G$3:$I$228,MATCH($U182,$T$3:$T$228,0),COLUMNS($U$3:W182)),"")</f>
        <v/>
      </c>
      <c r="Z182" s="1" t="b">
        <f t="shared" si="8"/>
        <v>1</v>
      </c>
      <c r="AA182" s="1">
        <f>IF(Z182=TRUE,ROWS($Z$3:Z182),"")</f>
        <v>180</v>
      </c>
      <c r="AB182" s="1">
        <f>IFERROR(SMALL($AA$3:$AA$228,ROWS($AA$3:AA182)),"")</f>
        <v>180</v>
      </c>
      <c r="AC182" s="1" t="str">
        <f>IF(AB182&lt;&gt;"",INDEX($G$3:$I$228,MATCH($AB182,$AA$3:$AA$228,0),COLUMNS($AA$3:AA182)),"")</f>
        <v>Defco Nanyuki</v>
      </c>
      <c r="AD182" s="1">
        <f>IF(AC182&lt;&gt;"",INDEX($G$3:$I$228,MATCH($AB182,$AA$3:$AA$228,0),COLUMNS($AA$3:AB182)),"")</f>
        <v>23890.71</v>
      </c>
      <c r="AE182" s="1" t="str">
        <f>IF(AD182&lt;&gt;"",INDEX($G$3:$I$228,MATCH($AB182,$AA$3:$AA$228,0),COLUMNS($AA$3:AC182)),"")</f>
        <v>Central</v>
      </c>
    </row>
    <row r="183" spans="1:31" x14ac:dyDescent="0.2">
      <c r="A183" s="2">
        <v>44754</v>
      </c>
      <c r="B183" s="1" t="s">
        <v>162</v>
      </c>
      <c r="C183" s="1" t="s">
        <v>253</v>
      </c>
      <c r="D183" s="1">
        <v>132968</v>
      </c>
      <c r="E183" s="3">
        <v>25475.01</v>
      </c>
      <c r="F183" s="1" t="s">
        <v>9</v>
      </c>
      <c r="G183" s="1" t="s">
        <v>129</v>
      </c>
      <c r="H183" s="3">
        <f>SUMIFS(Table1[Value],Table1[Outlets],G183)</f>
        <v>23542.84</v>
      </c>
      <c r="I183" s="1" t="str">
        <f>IFERROR(VLOOKUP(G183,Table1[[Outlets]:[Region]],2,0),"")</f>
        <v>Nairobi</v>
      </c>
      <c r="K183" s="1" t="b">
        <f t="shared" si="6"/>
        <v>0</v>
      </c>
      <c r="L183" s="1" t="str">
        <f>IF(K183=TRUE,ROWS($J$3:J183),"")</f>
        <v/>
      </c>
      <c r="M183" s="1" t="str">
        <f>IFERROR(SMALL($L$3:$L$228,ROWS($L$3:L183)),"")</f>
        <v/>
      </c>
      <c r="N183" s="1" t="str">
        <f>IF(M183&lt;&gt;"",INDEX($G$3:$I$228,MATCH($M183,$L$3:$L$228,0),COLUMNS($L$3:L183)),"")</f>
        <v/>
      </c>
      <c r="O183" s="3" t="str">
        <f>IF(N183&lt;&gt;"",INDEX($G$3:$I$228,MATCH($M183,$L$3:$L$228,0),COLUMNS($L$3:M183)),"")</f>
        <v/>
      </c>
      <c r="P183" s="1" t="str">
        <f>IF(O183&lt;&gt;"",INDEX($G$3:$I$228,MATCH($M183,$L$3:$L$228,0),COLUMNS($L$3:N183)),"")</f>
        <v/>
      </c>
      <c r="S183" s="1" t="b">
        <f t="shared" si="7"/>
        <v>0</v>
      </c>
      <c r="T183" s="1" t="str">
        <f>IF(S183=TRUE,ROWS($S$3:S183),"")</f>
        <v/>
      </c>
      <c r="U183" s="1" t="str">
        <f>IFERROR(SMALL($T$3:$T$228,ROWS($T$3:T183)),"")</f>
        <v/>
      </c>
      <c r="V183" s="1" t="str">
        <f>IF(U183&lt;&gt;"",INDEX($G$3:$I$228,MATCH($U183,$T$3:$T$228,0),COLUMNS($U$3:U183)),"")</f>
        <v/>
      </c>
      <c r="W183" s="1" t="str">
        <f>IF(V183&lt;&gt;"",INDEX($G$3:$I$228,MATCH($U183,$T$3:$T$228,0),COLUMNS($U$3:V183)),"")</f>
        <v/>
      </c>
      <c r="X183" s="1" t="str">
        <f>IF(W183&lt;&gt;"",INDEX($G$3:$I$228,MATCH($U183,$T$3:$T$228,0),COLUMNS($U$3:W183)),"")</f>
        <v/>
      </c>
      <c r="Z183" s="1" t="b">
        <f t="shared" si="8"/>
        <v>1</v>
      </c>
      <c r="AA183" s="1">
        <f>IF(Z183=TRUE,ROWS($Z$3:Z183),"")</f>
        <v>181</v>
      </c>
      <c r="AB183" s="1">
        <f>IFERROR(SMALL($AA$3:$AA$228,ROWS($AA$3:AA183)),"")</f>
        <v>181</v>
      </c>
      <c r="AC183" s="1" t="str">
        <f>IF(AB183&lt;&gt;"",INDEX($G$3:$I$228,MATCH($AB183,$AA$3:$AA$228,0),COLUMNS($AA$3:AA183)),"")</f>
        <v>Quickmart Pipeline</v>
      </c>
      <c r="AD183" s="1">
        <f>IF(AC183&lt;&gt;"",INDEX($G$3:$I$228,MATCH($AB183,$AA$3:$AA$228,0),COLUMNS($AA$3:AB183)),"")</f>
        <v>23542.84</v>
      </c>
      <c r="AE183" s="1" t="str">
        <f>IF(AD183&lt;&gt;"",INDEX($G$3:$I$228,MATCH($AB183,$AA$3:$AA$228,0),COLUMNS($AA$3:AC183)),"")</f>
        <v>Nairobi</v>
      </c>
    </row>
    <row r="184" spans="1:31" x14ac:dyDescent="0.2">
      <c r="A184" s="2">
        <v>44754</v>
      </c>
      <c r="B184" s="1" t="s">
        <v>63</v>
      </c>
      <c r="C184" s="1" t="s">
        <v>3</v>
      </c>
      <c r="D184" s="1">
        <v>132969</v>
      </c>
      <c r="E184" s="3">
        <v>13293</v>
      </c>
      <c r="F184" s="1" t="s">
        <v>8</v>
      </c>
      <c r="G184" s="1" t="s">
        <v>185</v>
      </c>
      <c r="H184" s="3">
        <f>SUMIFS(Table1[Value],Table1[Outlets],G184)</f>
        <v>23508.639999999999</v>
      </c>
      <c r="I184" s="1" t="str">
        <f>IFERROR(VLOOKUP(G184,Table1[[Outlets]:[Region]],2,0),"")</f>
        <v>Nairobi</v>
      </c>
      <c r="K184" s="1" t="b">
        <f t="shared" si="6"/>
        <v>0</v>
      </c>
      <c r="L184" s="1" t="str">
        <f>IF(K184=TRUE,ROWS($J$3:J184),"")</f>
        <v/>
      </c>
      <c r="M184" s="1" t="str">
        <f>IFERROR(SMALL($L$3:$L$228,ROWS($L$3:L184)),"")</f>
        <v/>
      </c>
      <c r="N184" s="1" t="str">
        <f>IF(M184&lt;&gt;"",INDEX($G$3:$I$228,MATCH($M184,$L$3:$L$228,0),COLUMNS($L$3:L184)),"")</f>
        <v/>
      </c>
      <c r="O184" s="3" t="str">
        <f>IF(N184&lt;&gt;"",INDEX($G$3:$I$228,MATCH($M184,$L$3:$L$228,0),COLUMNS($L$3:M184)),"")</f>
        <v/>
      </c>
      <c r="P184" s="1" t="str">
        <f>IF(O184&lt;&gt;"",INDEX($G$3:$I$228,MATCH($M184,$L$3:$L$228,0),COLUMNS($L$3:N184)),"")</f>
        <v/>
      </c>
      <c r="S184" s="1" t="b">
        <f t="shared" si="7"/>
        <v>0</v>
      </c>
      <c r="T184" s="1" t="str">
        <f>IF(S184=TRUE,ROWS($S$3:S184),"")</f>
        <v/>
      </c>
      <c r="U184" s="1" t="str">
        <f>IFERROR(SMALL($T$3:$T$228,ROWS($T$3:T184)),"")</f>
        <v/>
      </c>
      <c r="V184" s="1" t="str">
        <f>IF(U184&lt;&gt;"",INDEX($G$3:$I$228,MATCH($U184,$T$3:$T$228,0),COLUMNS($U$3:U184)),"")</f>
        <v/>
      </c>
      <c r="W184" s="1" t="str">
        <f>IF(V184&lt;&gt;"",INDEX($G$3:$I$228,MATCH($U184,$T$3:$T$228,0),COLUMNS($U$3:V184)),"")</f>
        <v/>
      </c>
      <c r="X184" s="1" t="str">
        <f>IF(W184&lt;&gt;"",INDEX($G$3:$I$228,MATCH($U184,$T$3:$T$228,0),COLUMNS($U$3:W184)),"")</f>
        <v/>
      </c>
      <c r="Z184" s="1" t="b">
        <f t="shared" si="8"/>
        <v>1</v>
      </c>
      <c r="AA184" s="1">
        <f>IF(Z184=TRUE,ROWS($Z$3:Z184),"")</f>
        <v>182</v>
      </c>
      <c r="AB184" s="1">
        <f>IFERROR(SMALL($AA$3:$AA$228,ROWS($AA$3:AA184)),"")</f>
        <v>182</v>
      </c>
      <c r="AC184" s="1" t="str">
        <f>IF(AB184&lt;&gt;"",INDEX($G$3:$I$228,MATCH($AB184,$AA$3:$AA$228,0),COLUMNS($AA$3:AA184)),"")</f>
        <v>Naivas Juja City</v>
      </c>
      <c r="AD184" s="1">
        <f>IF(AC184&lt;&gt;"",INDEX($G$3:$I$228,MATCH($AB184,$AA$3:$AA$228,0),COLUMNS($AA$3:AB184)),"")</f>
        <v>23508.639999999999</v>
      </c>
      <c r="AE184" s="1" t="str">
        <f>IF(AD184&lt;&gt;"",INDEX($G$3:$I$228,MATCH($AB184,$AA$3:$AA$228,0),COLUMNS($AA$3:AC184)),"")</f>
        <v>Nairobi</v>
      </c>
    </row>
    <row r="185" spans="1:31" x14ac:dyDescent="0.2">
      <c r="A185" s="2">
        <v>44754</v>
      </c>
      <c r="B185" s="1" t="s">
        <v>26</v>
      </c>
      <c r="C185" s="1" t="s">
        <v>3</v>
      </c>
      <c r="D185" s="1">
        <v>132970</v>
      </c>
      <c r="E185" s="3">
        <v>254867.56</v>
      </c>
      <c r="F185" s="1" t="s">
        <v>11</v>
      </c>
      <c r="G185" s="1" t="s">
        <v>154</v>
      </c>
      <c r="H185" s="3">
        <f>SUMIFS(Table1[Value],Table1[Outlets],G185)</f>
        <v>22647.4</v>
      </c>
      <c r="I185" s="1" t="str">
        <f>IFERROR(VLOOKUP(G185,Table1[[Outlets]:[Region]],2,0),"")</f>
        <v>Rift valley</v>
      </c>
      <c r="K185" s="1" t="b">
        <f t="shared" si="6"/>
        <v>0</v>
      </c>
      <c r="L185" s="1" t="str">
        <f>IF(K185=TRUE,ROWS($J$3:J185),"")</f>
        <v/>
      </c>
      <c r="M185" s="1" t="str">
        <f>IFERROR(SMALL($L$3:$L$228,ROWS($L$3:L185)),"")</f>
        <v/>
      </c>
      <c r="N185" s="1" t="str">
        <f>IF(M185&lt;&gt;"",INDEX($G$3:$I$228,MATCH($M185,$L$3:$L$228,0),COLUMNS($L$3:L185)),"")</f>
        <v/>
      </c>
      <c r="O185" s="3" t="str">
        <f>IF(N185&lt;&gt;"",INDEX($G$3:$I$228,MATCH($M185,$L$3:$L$228,0),COLUMNS($L$3:M185)),"")</f>
        <v/>
      </c>
      <c r="P185" s="1" t="str">
        <f>IF(O185&lt;&gt;"",INDEX($G$3:$I$228,MATCH($M185,$L$3:$L$228,0),COLUMNS($L$3:N185)),"")</f>
        <v/>
      </c>
      <c r="S185" s="1" t="b">
        <f t="shared" si="7"/>
        <v>0</v>
      </c>
      <c r="T185" s="1" t="str">
        <f>IF(S185=TRUE,ROWS($S$3:S185),"")</f>
        <v/>
      </c>
      <c r="U185" s="1" t="str">
        <f>IFERROR(SMALL($T$3:$T$228,ROWS($T$3:T185)),"")</f>
        <v/>
      </c>
      <c r="V185" s="1" t="str">
        <f>IF(U185&lt;&gt;"",INDEX($G$3:$I$228,MATCH($U185,$T$3:$T$228,0),COLUMNS($U$3:U185)),"")</f>
        <v/>
      </c>
      <c r="W185" s="1" t="str">
        <f>IF(V185&lt;&gt;"",INDEX($G$3:$I$228,MATCH($U185,$T$3:$T$228,0),COLUMNS($U$3:V185)),"")</f>
        <v/>
      </c>
      <c r="X185" s="1" t="str">
        <f>IF(W185&lt;&gt;"",INDEX($G$3:$I$228,MATCH($U185,$T$3:$T$228,0),COLUMNS($U$3:W185)),"")</f>
        <v/>
      </c>
      <c r="Z185" s="1" t="b">
        <f t="shared" si="8"/>
        <v>1</v>
      </c>
      <c r="AA185" s="1">
        <f>IF(Z185=TRUE,ROWS($Z$3:Z185),"")</f>
        <v>183</v>
      </c>
      <c r="AB185" s="1">
        <f>IFERROR(SMALL($AA$3:$AA$228,ROWS($AA$3:AA185)),"")</f>
        <v>183</v>
      </c>
      <c r="AC185" s="1" t="str">
        <f>IF(AB185&lt;&gt;"",INDEX($G$3:$I$228,MATCH($AB185,$AA$3:$AA$228,0),COLUMNS($AA$3:AA185)),"")</f>
        <v>Quickmart Kericho</v>
      </c>
      <c r="AD185" s="1">
        <f>IF(AC185&lt;&gt;"",INDEX($G$3:$I$228,MATCH($AB185,$AA$3:$AA$228,0),COLUMNS($AA$3:AB185)),"")</f>
        <v>22647.4</v>
      </c>
      <c r="AE185" s="1" t="str">
        <f>IF(AD185&lt;&gt;"",INDEX($G$3:$I$228,MATCH($AB185,$AA$3:$AA$228,0),COLUMNS($AA$3:AC185)),"")</f>
        <v>Rift valley</v>
      </c>
    </row>
    <row r="186" spans="1:31" x14ac:dyDescent="0.2">
      <c r="A186" s="2">
        <v>44754</v>
      </c>
      <c r="B186" s="1" t="s">
        <v>76</v>
      </c>
      <c r="C186" s="1" t="s">
        <v>249</v>
      </c>
      <c r="D186" s="1">
        <v>132972</v>
      </c>
      <c r="E186" s="3">
        <v>66124.460000000006</v>
      </c>
      <c r="F186" s="1" t="s">
        <v>8</v>
      </c>
      <c r="G186" s="1" t="s">
        <v>137</v>
      </c>
      <c r="H186" s="3">
        <f>SUMIFS(Table1[Value],Table1[Outlets],G186)</f>
        <v>22383.599999999999</v>
      </c>
      <c r="I186" s="1" t="str">
        <f>IFERROR(VLOOKUP(G186,Table1[[Outlets]:[Region]],2,0),"")</f>
        <v>Nairobi</v>
      </c>
      <c r="K186" s="1" t="b">
        <f t="shared" si="6"/>
        <v>0</v>
      </c>
      <c r="L186" s="1" t="str">
        <f>IF(K186=TRUE,ROWS($J$3:J186),"")</f>
        <v/>
      </c>
      <c r="M186" s="1" t="str">
        <f>IFERROR(SMALL($L$3:$L$228,ROWS($L$3:L186)),"")</f>
        <v/>
      </c>
      <c r="N186" s="1" t="str">
        <f>IF(M186&lt;&gt;"",INDEX($G$3:$I$228,MATCH($M186,$L$3:$L$228,0),COLUMNS($L$3:L186)),"")</f>
        <v/>
      </c>
      <c r="O186" s="3" t="str">
        <f>IF(N186&lt;&gt;"",INDEX($G$3:$I$228,MATCH($M186,$L$3:$L$228,0),COLUMNS($L$3:M186)),"")</f>
        <v/>
      </c>
      <c r="P186" s="1" t="str">
        <f>IF(O186&lt;&gt;"",INDEX($G$3:$I$228,MATCH($M186,$L$3:$L$228,0),COLUMNS($L$3:N186)),"")</f>
        <v/>
      </c>
      <c r="S186" s="1" t="b">
        <f t="shared" si="7"/>
        <v>0</v>
      </c>
      <c r="T186" s="1" t="str">
        <f>IF(S186=TRUE,ROWS($S$3:S186),"")</f>
        <v/>
      </c>
      <c r="U186" s="1" t="str">
        <f>IFERROR(SMALL($T$3:$T$228,ROWS($T$3:T186)),"")</f>
        <v/>
      </c>
      <c r="V186" s="1" t="str">
        <f>IF(U186&lt;&gt;"",INDEX($G$3:$I$228,MATCH($U186,$T$3:$T$228,0),COLUMNS($U$3:U186)),"")</f>
        <v/>
      </c>
      <c r="W186" s="1" t="str">
        <f>IF(V186&lt;&gt;"",INDEX($G$3:$I$228,MATCH($U186,$T$3:$T$228,0),COLUMNS($U$3:V186)),"")</f>
        <v/>
      </c>
      <c r="X186" s="1" t="str">
        <f>IF(W186&lt;&gt;"",INDEX($G$3:$I$228,MATCH($U186,$T$3:$T$228,0),COLUMNS($U$3:W186)),"")</f>
        <v/>
      </c>
      <c r="Z186" s="1" t="b">
        <f t="shared" si="8"/>
        <v>1</v>
      </c>
      <c r="AA186" s="1">
        <f>IF(Z186=TRUE,ROWS($Z$3:Z186),"")</f>
        <v>184</v>
      </c>
      <c r="AB186" s="1">
        <f>IFERROR(SMALL($AA$3:$AA$228,ROWS($AA$3:AA186)),"")</f>
        <v>184</v>
      </c>
      <c r="AC186" s="1" t="str">
        <f>IF(AB186&lt;&gt;"",INDEX($G$3:$I$228,MATCH($AB186,$AA$3:$AA$228,0),COLUMNS($AA$3:AA186)),"")</f>
        <v>Naivas Muindi Mbingu</v>
      </c>
      <c r="AD186" s="1">
        <f>IF(AC186&lt;&gt;"",INDEX($G$3:$I$228,MATCH($AB186,$AA$3:$AA$228,0),COLUMNS($AA$3:AB186)),"")</f>
        <v>22383.599999999999</v>
      </c>
      <c r="AE186" s="1" t="str">
        <f>IF(AD186&lt;&gt;"",INDEX($G$3:$I$228,MATCH($AB186,$AA$3:$AA$228,0),COLUMNS($AA$3:AC186)),"")</f>
        <v>Nairobi</v>
      </c>
    </row>
    <row r="187" spans="1:31" x14ac:dyDescent="0.2">
      <c r="A187" s="2">
        <v>44754</v>
      </c>
      <c r="B187" s="1" t="s">
        <v>132</v>
      </c>
      <c r="C187" s="1" t="s">
        <v>3</v>
      </c>
      <c r="D187" s="1">
        <v>132976</v>
      </c>
      <c r="E187" s="3">
        <v>30400.87</v>
      </c>
      <c r="F187" s="1" t="s">
        <v>9</v>
      </c>
      <c r="G187" s="1" t="s">
        <v>198</v>
      </c>
      <c r="H187" s="3">
        <f>SUMIFS(Table1[Value],Table1[Outlets],G187)</f>
        <v>21687.3</v>
      </c>
      <c r="I187" s="1" t="str">
        <f>IFERROR(VLOOKUP(G187,Table1[[Outlets]:[Region]],2,0),"")</f>
        <v>Rift valley</v>
      </c>
      <c r="K187" s="1" t="b">
        <f t="shared" si="6"/>
        <v>0</v>
      </c>
      <c r="L187" s="1" t="str">
        <f>IF(K187=TRUE,ROWS($J$3:J187),"")</f>
        <v/>
      </c>
      <c r="M187" s="1" t="str">
        <f>IFERROR(SMALL($L$3:$L$228,ROWS($L$3:L187)),"")</f>
        <v/>
      </c>
      <c r="N187" s="1" t="str">
        <f>IF(M187&lt;&gt;"",INDEX($G$3:$I$228,MATCH($M187,$L$3:$L$228,0),COLUMNS($L$3:L187)),"")</f>
        <v/>
      </c>
      <c r="O187" s="3" t="str">
        <f>IF(N187&lt;&gt;"",INDEX($G$3:$I$228,MATCH($M187,$L$3:$L$228,0),COLUMNS($L$3:M187)),"")</f>
        <v/>
      </c>
      <c r="P187" s="1" t="str">
        <f>IF(O187&lt;&gt;"",INDEX($G$3:$I$228,MATCH($M187,$L$3:$L$228,0),COLUMNS($L$3:N187)),"")</f>
        <v/>
      </c>
      <c r="S187" s="1" t="b">
        <f t="shared" si="7"/>
        <v>0</v>
      </c>
      <c r="T187" s="1" t="str">
        <f>IF(S187=TRUE,ROWS($S$3:S187),"")</f>
        <v/>
      </c>
      <c r="U187" s="1" t="str">
        <f>IFERROR(SMALL($T$3:$T$228,ROWS($T$3:T187)),"")</f>
        <v/>
      </c>
      <c r="V187" s="1" t="str">
        <f>IF(U187&lt;&gt;"",INDEX($G$3:$I$228,MATCH($U187,$T$3:$T$228,0),COLUMNS($U$3:U187)),"")</f>
        <v/>
      </c>
      <c r="W187" s="1" t="str">
        <f>IF(V187&lt;&gt;"",INDEX($G$3:$I$228,MATCH($U187,$T$3:$T$228,0),COLUMNS($U$3:V187)),"")</f>
        <v/>
      </c>
      <c r="X187" s="1" t="str">
        <f>IF(W187&lt;&gt;"",INDEX($G$3:$I$228,MATCH($U187,$T$3:$T$228,0),COLUMNS($U$3:W187)),"")</f>
        <v/>
      </c>
      <c r="Z187" s="1" t="b">
        <f t="shared" si="8"/>
        <v>1</v>
      </c>
      <c r="AA187" s="1">
        <f>IF(Z187=TRUE,ROWS($Z$3:Z187),"")</f>
        <v>185</v>
      </c>
      <c r="AB187" s="1">
        <f>IFERROR(SMALL($AA$3:$AA$228,ROWS($AA$3:AA187)),"")</f>
        <v>185</v>
      </c>
      <c r="AC187" s="1" t="str">
        <f>IF(AB187&lt;&gt;"",INDEX($G$3:$I$228,MATCH($AB187,$AA$3:$AA$228,0),COLUMNS($AA$3:AA187)),"")</f>
        <v>Cleanshelf Nakuru</v>
      </c>
      <c r="AD187" s="1">
        <f>IF(AC187&lt;&gt;"",INDEX($G$3:$I$228,MATCH($AB187,$AA$3:$AA$228,0),COLUMNS($AA$3:AB187)),"")</f>
        <v>21687.3</v>
      </c>
      <c r="AE187" s="1" t="str">
        <f>IF(AD187&lt;&gt;"",INDEX($G$3:$I$228,MATCH($AB187,$AA$3:$AA$228,0),COLUMNS($AA$3:AC187)),"")</f>
        <v>Rift valley</v>
      </c>
    </row>
    <row r="188" spans="1:31" x14ac:dyDescent="0.2">
      <c r="A188" s="2">
        <v>44754</v>
      </c>
      <c r="B188" s="1" t="s">
        <v>84</v>
      </c>
      <c r="C188" s="1" t="s">
        <v>3</v>
      </c>
      <c r="D188" s="1">
        <v>132977</v>
      </c>
      <c r="E188" s="3">
        <v>39727.300000000003</v>
      </c>
      <c r="F188" s="1" t="s">
        <v>11</v>
      </c>
      <c r="G188" s="1" t="s">
        <v>207</v>
      </c>
      <c r="H188" s="3">
        <f>SUMIFS(Table1[Value],Table1[Outlets],G188)</f>
        <v>21583.45</v>
      </c>
      <c r="I188" s="1" t="str">
        <f>IFERROR(VLOOKUP(G188,Table1[[Outlets]:[Region]],2,0),"")</f>
        <v>Nairobi</v>
      </c>
      <c r="K188" s="1" t="b">
        <f t="shared" si="6"/>
        <v>0</v>
      </c>
      <c r="L188" s="1" t="str">
        <f>IF(K188=TRUE,ROWS($J$3:J188),"")</f>
        <v/>
      </c>
      <c r="M188" s="1" t="str">
        <f>IFERROR(SMALL($L$3:$L$228,ROWS($L$3:L188)),"")</f>
        <v/>
      </c>
      <c r="N188" s="1" t="str">
        <f>IF(M188&lt;&gt;"",INDEX($G$3:$I$228,MATCH($M188,$L$3:$L$228,0),COLUMNS($L$3:L188)),"")</f>
        <v/>
      </c>
      <c r="O188" s="3" t="str">
        <f>IF(N188&lt;&gt;"",INDEX($G$3:$I$228,MATCH($M188,$L$3:$L$228,0),COLUMNS($L$3:M188)),"")</f>
        <v/>
      </c>
      <c r="P188" s="1" t="str">
        <f>IF(O188&lt;&gt;"",INDEX($G$3:$I$228,MATCH($M188,$L$3:$L$228,0),COLUMNS($L$3:N188)),"")</f>
        <v/>
      </c>
      <c r="S188" s="1" t="b">
        <f t="shared" si="7"/>
        <v>0</v>
      </c>
      <c r="T188" s="1" t="str">
        <f>IF(S188=TRUE,ROWS($S$3:S188),"")</f>
        <v/>
      </c>
      <c r="U188" s="1" t="str">
        <f>IFERROR(SMALL($T$3:$T$228,ROWS($T$3:T188)),"")</f>
        <v/>
      </c>
      <c r="V188" s="1" t="str">
        <f>IF(U188&lt;&gt;"",INDEX($G$3:$I$228,MATCH($U188,$T$3:$T$228,0),COLUMNS($U$3:U188)),"")</f>
        <v/>
      </c>
      <c r="W188" s="1" t="str">
        <f>IF(V188&lt;&gt;"",INDEX($G$3:$I$228,MATCH($U188,$T$3:$T$228,0),COLUMNS($U$3:V188)),"")</f>
        <v/>
      </c>
      <c r="X188" s="1" t="str">
        <f>IF(W188&lt;&gt;"",INDEX($G$3:$I$228,MATCH($U188,$T$3:$T$228,0),COLUMNS($U$3:W188)),"")</f>
        <v/>
      </c>
      <c r="Z188" s="1" t="b">
        <f t="shared" si="8"/>
        <v>1</v>
      </c>
      <c r="AA188" s="1">
        <f>IF(Z188=TRUE,ROWS($Z$3:Z188),"")</f>
        <v>186</v>
      </c>
      <c r="AB188" s="1">
        <f>IFERROR(SMALL($AA$3:$AA$228,ROWS($AA$3:AA188)),"")</f>
        <v>186</v>
      </c>
      <c r="AC188" s="1" t="str">
        <f>IF(AB188&lt;&gt;"",INDEX($G$3:$I$228,MATCH($AB188,$AA$3:$AA$228,0),COLUMNS($AA$3:AA188)),"")</f>
        <v>Naivas Eastgate</v>
      </c>
      <c r="AD188" s="1">
        <f>IF(AC188&lt;&gt;"",INDEX($G$3:$I$228,MATCH($AB188,$AA$3:$AA$228,0),COLUMNS($AA$3:AB188)),"")</f>
        <v>21583.45</v>
      </c>
      <c r="AE188" s="1" t="str">
        <f>IF(AD188&lt;&gt;"",INDEX($G$3:$I$228,MATCH($AB188,$AA$3:$AA$228,0),COLUMNS($AA$3:AC188)),"")</f>
        <v>Nairobi</v>
      </c>
    </row>
    <row r="189" spans="1:31" x14ac:dyDescent="0.2">
      <c r="A189" s="2">
        <v>44754</v>
      </c>
      <c r="B189" s="1" t="s">
        <v>163</v>
      </c>
      <c r="C189" s="1" t="s">
        <v>3</v>
      </c>
      <c r="D189" s="1">
        <v>132978</v>
      </c>
      <c r="E189" s="3">
        <v>127528.08</v>
      </c>
      <c r="F189" s="1" t="s">
        <v>9</v>
      </c>
      <c r="G189" s="1" t="s">
        <v>83</v>
      </c>
      <c r="H189" s="3">
        <f>SUMIFS(Table1[Value],Table1[Outlets],G189)</f>
        <v>21182.440000000002</v>
      </c>
      <c r="I189" s="1" t="str">
        <f>IFERROR(VLOOKUP(G189,Table1[[Outlets]:[Region]],2,0),"")</f>
        <v>Nairobi</v>
      </c>
      <c r="K189" s="1" t="b">
        <f t="shared" si="6"/>
        <v>0</v>
      </c>
      <c r="L189" s="1" t="str">
        <f>IF(K189=TRUE,ROWS($J$3:J189),"")</f>
        <v/>
      </c>
      <c r="M189" s="1" t="str">
        <f>IFERROR(SMALL($L$3:$L$228,ROWS($L$3:L189)),"")</f>
        <v/>
      </c>
      <c r="N189" s="1" t="str">
        <f>IF(M189&lt;&gt;"",INDEX($G$3:$I$228,MATCH($M189,$L$3:$L$228,0),COLUMNS($L$3:L189)),"")</f>
        <v/>
      </c>
      <c r="O189" s="3" t="str">
        <f>IF(N189&lt;&gt;"",INDEX($G$3:$I$228,MATCH($M189,$L$3:$L$228,0),COLUMNS($L$3:M189)),"")</f>
        <v/>
      </c>
      <c r="P189" s="1" t="str">
        <f>IF(O189&lt;&gt;"",INDEX($G$3:$I$228,MATCH($M189,$L$3:$L$228,0),COLUMNS($L$3:N189)),"")</f>
        <v/>
      </c>
      <c r="S189" s="1" t="b">
        <f t="shared" si="7"/>
        <v>0</v>
      </c>
      <c r="T189" s="1" t="str">
        <f>IF(S189=TRUE,ROWS($S$3:S189),"")</f>
        <v/>
      </c>
      <c r="U189" s="1" t="str">
        <f>IFERROR(SMALL($T$3:$T$228,ROWS($T$3:T189)),"")</f>
        <v/>
      </c>
      <c r="V189" s="1" t="str">
        <f>IF(U189&lt;&gt;"",INDEX($G$3:$I$228,MATCH($U189,$T$3:$T$228,0),COLUMNS($U$3:U189)),"")</f>
        <v/>
      </c>
      <c r="W189" s="1" t="str">
        <f>IF(V189&lt;&gt;"",INDEX($G$3:$I$228,MATCH($U189,$T$3:$T$228,0),COLUMNS($U$3:V189)),"")</f>
        <v/>
      </c>
      <c r="X189" s="1" t="str">
        <f>IF(W189&lt;&gt;"",INDEX($G$3:$I$228,MATCH($U189,$T$3:$T$228,0),COLUMNS($U$3:W189)),"")</f>
        <v/>
      </c>
      <c r="Z189" s="1" t="b">
        <f t="shared" si="8"/>
        <v>1</v>
      </c>
      <c r="AA189" s="1">
        <f>IF(Z189=TRUE,ROWS($Z$3:Z189),"")</f>
        <v>187</v>
      </c>
      <c r="AB189" s="1">
        <f>IFERROR(SMALL($AA$3:$AA$228,ROWS($AA$3:AA189)),"")</f>
        <v>187</v>
      </c>
      <c r="AC189" s="1" t="str">
        <f>IF(AB189&lt;&gt;"",INDEX($G$3:$I$228,MATCH($AB189,$AA$3:$AA$228,0),COLUMNS($AA$3:AA189)),"")</f>
        <v>Cleanshelf Kikuyu</v>
      </c>
      <c r="AD189" s="1">
        <f>IF(AC189&lt;&gt;"",INDEX($G$3:$I$228,MATCH($AB189,$AA$3:$AA$228,0),COLUMNS($AA$3:AB189)),"")</f>
        <v>21182.440000000002</v>
      </c>
      <c r="AE189" s="1" t="str">
        <f>IF(AD189&lt;&gt;"",INDEX($G$3:$I$228,MATCH($AB189,$AA$3:$AA$228,0),COLUMNS($AA$3:AC189)),"")</f>
        <v>Nairobi</v>
      </c>
    </row>
    <row r="190" spans="1:31" x14ac:dyDescent="0.2">
      <c r="A190" s="2">
        <v>44754</v>
      </c>
      <c r="B190" s="1" t="s">
        <v>44</v>
      </c>
      <c r="C190" s="1" t="s">
        <v>3</v>
      </c>
      <c r="D190" s="1">
        <v>132979</v>
      </c>
      <c r="E190" s="3">
        <v>67710.600000000006</v>
      </c>
      <c r="F190" s="1" t="s">
        <v>9</v>
      </c>
      <c r="G190" s="1" t="s">
        <v>222</v>
      </c>
      <c r="H190" s="3">
        <f>SUMIFS(Table1[Value],Table1[Outlets],G190)</f>
        <v>21041.53</v>
      </c>
      <c r="I190" s="1" t="str">
        <f>IFERROR(VLOOKUP(G190,Table1[[Outlets]:[Region]],2,0),"")</f>
        <v>Nyanza</v>
      </c>
      <c r="K190" s="1" t="b">
        <f t="shared" si="6"/>
        <v>0</v>
      </c>
      <c r="L190" s="1" t="str">
        <f>IF(K190=TRUE,ROWS($J$3:J190),"")</f>
        <v/>
      </c>
      <c r="M190" s="1" t="str">
        <f>IFERROR(SMALL($L$3:$L$228,ROWS($L$3:L190)),"")</f>
        <v/>
      </c>
      <c r="N190" s="1" t="str">
        <f>IF(M190&lt;&gt;"",INDEX($G$3:$I$228,MATCH($M190,$L$3:$L$228,0),COLUMNS($L$3:L190)),"")</f>
        <v/>
      </c>
      <c r="O190" s="3" t="str">
        <f>IF(N190&lt;&gt;"",INDEX($G$3:$I$228,MATCH($M190,$L$3:$L$228,0),COLUMNS($L$3:M190)),"")</f>
        <v/>
      </c>
      <c r="P190" s="1" t="str">
        <f>IF(O190&lt;&gt;"",INDEX($G$3:$I$228,MATCH($M190,$L$3:$L$228,0),COLUMNS($L$3:N190)),"")</f>
        <v/>
      </c>
      <c r="S190" s="1" t="b">
        <f t="shared" si="7"/>
        <v>0</v>
      </c>
      <c r="T190" s="1" t="str">
        <f>IF(S190=TRUE,ROWS($S$3:S190),"")</f>
        <v/>
      </c>
      <c r="U190" s="1" t="str">
        <f>IFERROR(SMALL($T$3:$T$228,ROWS($T$3:T190)),"")</f>
        <v/>
      </c>
      <c r="V190" s="1" t="str">
        <f>IF(U190&lt;&gt;"",INDEX($G$3:$I$228,MATCH($U190,$T$3:$T$228,0),COLUMNS($U$3:U190)),"")</f>
        <v/>
      </c>
      <c r="W190" s="1" t="str">
        <f>IF(V190&lt;&gt;"",INDEX($G$3:$I$228,MATCH($U190,$T$3:$T$228,0),COLUMNS($U$3:V190)),"")</f>
        <v/>
      </c>
      <c r="X190" s="1" t="str">
        <f>IF(W190&lt;&gt;"",INDEX($G$3:$I$228,MATCH($U190,$T$3:$T$228,0),COLUMNS($U$3:W190)),"")</f>
        <v/>
      </c>
      <c r="Z190" s="1" t="b">
        <f t="shared" si="8"/>
        <v>1</v>
      </c>
      <c r="AA190" s="1">
        <f>IF(Z190=TRUE,ROWS($Z$3:Z190),"")</f>
        <v>188</v>
      </c>
      <c r="AB190" s="1">
        <f>IFERROR(SMALL($AA$3:$AA$228,ROWS($AA$3:AA190)),"")</f>
        <v>188</v>
      </c>
      <c r="AC190" s="1" t="str">
        <f>IF(AB190&lt;&gt;"",INDEX($G$3:$I$228,MATCH($AB190,$AA$3:$AA$228,0),COLUMNS($AA$3:AA190)),"")</f>
        <v>Naivas Kisii</v>
      </c>
      <c r="AD190" s="1">
        <f>IF(AC190&lt;&gt;"",INDEX($G$3:$I$228,MATCH($AB190,$AA$3:$AA$228,0),COLUMNS($AA$3:AB190)),"")</f>
        <v>21041.53</v>
      </c>
      <c r="AE190" s="1" t="str">
        <f>IF(AD190&lt;&gt;"",INDEX($G$3:$I$228,MATCH($AB190,$AA$3:$AA$228,0),COLUMNS($AA$3:AC190)),"")</f>
        <v>Nyanza</v>
      </c>
    </row>
    <row r="191" spans="1:31" x14ac:dyDescent="0.2">
      <c r="A191" s="2">
        <v>44754</v>
      </c>
      <c r="B191" s="1" t="s">
        <v>164</v>
      </c>
      <c r="C191" s="1" t="s">
        <v>3</v>
      </c>
      <c r="D191" s="1">
        <v>132980</v>
      </c>
      <c r="E191" s="3">
        <v>10406.89</v>
      </c>
      <c r="F191" s="1" t="s">
        <v>11</v>
      </c>
      <c r="G191" s="1" t="s">
        <v>233</v>
      </c>
      <c r="H191" s="3">
        <f>SUMIFS(Table1[Value],Table1[Outlets],G191)</f>
        <v>20602.759999999998</v>
      </c>
      <c r="I191" s="1" t="str">
        <f>IFERROR(VLOOKUP(G191,Table1[[Outlets]:[Region]],2,0),"")</f>
        <v>Nairobi</v>
      </c>
      <c r="K191" s="1" t="b">
        <f t="shared" si="6"/>
        <v>0</v>
      </c>
      <c r="L191" s="1" t="str">
        <f>IF(K191=TRUE,ROWS($J$3:J191),"")</f>
        <v/>
      </c>
      <c r="M191" s="1" t="str">
        <f>IFERROR(SMALL($L$3:$L$228,ROWS($L$3:L191)),"")</f>
        <v/>
      </c>
      <c r="N191" s="1" t="str">
        <f>IF(M191&lt;&gt;"",INDEX($G$3:$I$228,MATCH($M191,$L$3:$L$228,0),COLUMNS($L$3:L191)),"")</f>
        <v/>
      </c>
      <c r="O191" s="3" t="str">
        <f>IF(N191&lt;&gt;"",INDEX($G$3:$I$228,MATCH($M191,$L$3:$L$228,0),COLUMNS($L$3:M191)),"")</f>
        <v/>
      </c>
      <c r="P191" s="1" t="str">
        <f>IF(O191&lt;&gt;"",INDEX($G$3:$I$228,MATCH($M191,$L$3:$L$228,0),COLUMNS($L$3:N191)),"")</f>
        <v/>
      </c>
      <c r="S191" s="1" t="b">
        <f t="shared" si="7"/>
        <v>0</v>
      </c>
      <c r="T191" s="1" t="str">
        <f>IF(S191=TRUE,ROWS($S$3:S191),"")</f>
        <v/>
      </c>
      <c r="U191" s="1" t="str">
        <f>IFERROR(SMALL($T$3:$T$228,ROWS($T$3:T191)),"")</f>
        <v/>
      </c>
      <c r="V191" s="1" t="str">
        <f>IF(U191&lt;&gt;"",INDEX($G$3:$I$228,MATCH($U191,$T$3:$T$228,0),COLUMNS($U$3:U191)),"")</f>
        <v/>
      </c>
      <c r="W191" s="1" t="str">
        <f>IF(V191&lt;&gt;"",INDEX($G$3:$I$228,MATCH($U191,$T$3:$T$228,0),COLUMNS($U$3:V191)),"")</f>
        <v/>
      </c>
      <c r="X191" s="1" t="str">
        <f>IF(W191&lt;&gt;"",INDEX($G$3:$I$228,MATCH($U191,$T$3:$T$228,0),COLUMNS($U$3:W191)),"")</f>
        <v/>
      </c>
      <c r="Z191" s="1" t="b">
        <f t="shared" si="8"/>
        <v>1</v>
      </c>
      <c r="AA191" s="1">
        <f>IF(Z191=TRUE,ROWS($Z$3:Z191),"")</f>
        <v>189</v>
      </c>
      <c r="AB191" s="1">
        <f>IFERROR(SMALL($AA$3:$AA$228,ROWS($AA$3:AA191)),"")</f>
        <v>189</v>
      </c>
      <c r="AC191" s="1" t="str">
        <f>IF(AB191&lt;&gt;"",INDEX($G$3:$I$228,MATCH($AB191,$AA$3:$AA$228,0),COLUMNS($AA$3:AA191)),"")</f>
        <v>Naivas Githurai 44</v>
      </c>
      <c r="AD191" s="1">
        <f>IF(AC191&lt;&gt;"",INDEX($G$3:$I$228,MATCH($AB191,$AA$3:$AA$228,0),COLUMNS($AA$3:AB191)),"")</f>
        <v>20602.759999999998</v>
      </c>
      <c r="AE191" s="1" t="str">
        <f>IF(AD191&lt;&gt;"",INDEX($G$3:$I$228,MATCH($AB191,$AA$3:$AA$228,0),COLUMNS($AA$3:AC191)),"")</f>
        <v>Nairobi</v>
      </c>
    </row>
    <row r="192" spans="1:31" x14ac:dyDescent="0.2">
      <c r="A192" s="2">
        <v>44754</v>
      </c>
      <c r="B192" s="1" t="s">
        <v>43</v>
      </c>
      <c r="C192" s="1" t="s">
        <v>3</v>
      </c>
      <c r="D192" s="1">
        <v>132981</v>
      </c>
      <c r="E192" s="3">
        <v>26385.54</v>
      </c>
      <c r="F192" s="1" t="s">
        <v>9</v>
      </c>
      <c r="G192" s="1" t="s">
        <v>179</v>
      </c>
      <c r="H192" s="3">
        <f>SUMIFS(Table1[Value],Table1[Outlets],G192)</f>
        <v>20303.78</v>
      </c>
      <c r="I192" s="1" t="str">
        <f>IFERROR(VLOOKUP(G192,Table1[[Outlets]:[Region]],2,0),"")</f>
        <v>Eastern</v>
      </c>
      <c r="K192" s="1" t="b">
        <f t="shared" si="6"/>
        <v>0</v>
      </c>
      <c r="L192" s="1" t="str">
        <f>IF(K192=TRUE,ROWS($J$3:J192),"")</f>
        <v/>
      </c>
      <c r="M192" s="1" t="str">
        <f>IFERROR(SMALL($L$3:$L$228,ROWS($L$3:L192)),"")</f>
        <v/>
      </c>
      <c r="N192" s="1" t="str">
        <f>IF(M192&lt;&gt;"",INDEX($G$3:$I$228,MATCH($M192,$L$3:$L$228,0),COLUMNS($L$3:L192)),"")</f>
        <v/>
      </c>
      <c r="O192" s="3" t="str">
        <f>IF(N192&lt;&gt;"",INDEX($G$3:$I$228,MATCH($M192,$L$3:$L$228,0),COLUMNS($L$3:M192)),"")</f>
        <v/>
      </c>
      <c r="P192" s="1" t="str">
        <f>IF(O192&lt;&gt;"",INDEX($G$3:$I$228,MATCH($M192,$L$3:$L$228,0),COLUMNS($L$3:N192)),"")</f>
        <v/>
      </c>
      <c r="S192" s="1" t="b">
        <f t="shared" si="7"/>
        <v>0</v>
      </c>
      <c r="T192" s="1" t="str">
        <f>IF(S192=TRUE,ROWS($S$3:S192),"")</f>
        <v/>
      </c>
      <c r="U192" s="1" t="str">
        <f>IFERROR(SMALL($T$3:$T$228,ROWS($T$3:T192)),"")</f>
        <v/>
      </c>
      <c r="V192" s="1" t="str">
        <f>IF(U192&lt;&gt;"",INDEX($G$3:$I$228,MATCH($U192,$T$3:$T$228,0),COLUMNS($U$3:U192)),"")</f>
        <v/>
      </c>
      <c r="W192" s="1" t="str">
        <f>IF(V192&lt;&gt;"",INDEX($G$3:$I$228,MATCH($U192,$T$3:$T$228,0),COLUMNS($U$3:V192)),"")</f>
        <v/>
      </c>
      <c r="X192" s="1" t="str">
        <f>IF(W192&lt;&gt;"",INDEX($G$3:$I$228,MATCH($U192,$T$3:$T$228,0),COLUMNS($U$3:W192)),"")</f>
        <v/>
      </c>
      <c r="Z192" s="1" t="b">
        <f t="shared" si="8"/>
        <v>1</v>
      </c>
      <c r="AA192" s="1">
        <f>IF(Z192=TRUE,ROWS($Z$3:Z192),"")</f>
        <v>190</v>
      </c>
      <c r="AB192" s="1">
        <f>IFERROR(SMALL($AA$3:$AA$228,ROWS($AA$3:AA192)),"")</f>
        <v>190</v>
      </c>
      <c r="AC192" s="1" t="str">
        <f>IF(AB192&lt;&gt;"",INDEX($G$3:$I$228,MATCH($AB192,$AA$3:$AA$228,0),COLUMNS($AA$3:AA192)),"")</f>
        <v>Quickmart Kitui</v>
      </c>
      <c r="AD192" s="1">
        <f>IF(AC192&lt;&gt;"",INDEX($G$3:$I$228,MATCH($AB192,$AA$3:$AA$228,0),COLUMNS($AA$3:AB192)),"")</f>
        <v>20303.78</v>
      </c>
      <c r="AE192" s="1" t="str">
        <f>IF(AD192&lt;&gt;"",INDEX($G$3:$I$228,MATCH($AB192,$AA$3:$AA$228,0),COLUMNS($AA$3:AC192)),"")</f>
        <v>Eastern</v>
      </c>
    </row>
    <row r="193" spans="1:31" x14ac:dyDescent="0.2">
      <c r="A193" s="2">
        <v>44754</v>
      </c>
      <c r="B193" s="1" t="s">
        <v>165</v>
      </c>
      <c r="C193" s="1" t="s">
        <v>3</v>
      </c>
      <c r="D193" s="1">
        <v>132982</v>
      </c>
      <c r="E193" s="3">
        <v>31772.25</v>
      </c>
      <c r="F193" s="1" t="s">
        <v>9</v>
      </c>
      <c r="G193" s="1" t="s">
        <v>223</v>
      </c>
      <c r="H193" s="3">
        <f>SUMIFS(Table1[Value],Table1[Outlets],G193)</f>
        <v>19551.73</v>
      </c>
      <c r="I193" s="1" t="str">
        <f>IFERROR(VLOOKUP(G193,Table1[[Outlets]:[Region]],2,0),"")</f>
        <v>Nairobi</v>
      </c>
      <c r="K193" s="1" t="b">
        <f t="shared" si="6"/>
        <v>0</v>
      </c>
      <c r="L193" s="1" t="str">
        <f>IF(K193=TRUE,ROWS($J$3:J193),"")</f>
        <v/>
      </c>
      <c r="M193" s="1" t="str">
        <f>IFERROR(SMALL($L$3:$L$228,ROWS($L$3:L193)),"")</f>
        <v/>
      </c>
      <c r="N193" s="1" t="str">
        <f>IF(M193&lt;&gt;"",INDEX($G$3:$I$228,MATCH($M193,$L$3:$L$228,0),COLUMNS($L$3:L193)),"")</f>
        <v/>
      </c>
      <c r="O193" s="3" t="str">
        <f>IF(N193&lt;&gt;"",INDEX($G$3:$I$228,MATCH($M193,$L$3:$L$228,0),COLUMNS($L$3:M193)),"")</f>
        <v/>
      </c>
      <c r="P193" s="1" t="str">
        <f>IF(O193&lt;&gt;"",INDEX($G$3:$I$228,MATCH($M193,$L$3:$L$228,0),COLUMNS($L$3:N193)),"")</f>
        <v/>
      </c>
      <c r="S193" s="1" t="b">
        <f t="shared" si="7"/>
        <v>0</v>
      </c>
      <c r="T193" s="1" t="str">
        <f>IF(S193=TRUE,ROWS($S$3:S193),"")</f>
        <v/>
      </c>
      <c r="U193" s="1" t="str">
        <f>IFERROR(SMALL($T$3:$T$228,ROWS($T$3:T193)),"")</f>
        <v/>
      </c>
      <c r="V193" s="1" t="str">
        <f>IF(U193&lt;&gt;"",INDEX($G$3:$I$228,MATCH($U193,$T$3:$T$228,0),COLUMNS($U$3:U193)),"")</f>
        <v/>
      </c>
      <c r="W193" s="1" t="str">
        <f>IF(V193&lt;&gt;"",INDEX($G$3:$I$228,MATCH($U193,$T$3:$T$228,0),COLUMNS($U$3:V193)),"")</f>
        <v/>
      </c>
      <c r="X193" s="1" t="str">
        <f>IF(W193&lt;&gt;"",INDEX($G$3:$I$228,MATCH($U193,$T$3:$T$228,0),COLUMNS($U$3:W193)),"")</f>
        <v/>
      </c>
      <c r="Z193" s="1" t="b">
        <f t="shared" si="8"/>
        <v>1</v>
      </c>
      <c r="AA193" s="1">
        <f>IF(Z193=TRUE,ROWS($Z$3:Z193),"")</f>
        <v>191</v>
      </c>
      <c r="AB193" s="1">
        <f>IFERROR(SMALL($AA$3:$AA$228,ROWS($AA$3:AA193)),"")</f>
        <v>191</v>
      </c>
      <c r="AC193" s="1" t="str">
        <f>IF(AB193&lt;&gt;"",INDEX($G$3:$I$228,MATCH($AB193,$AA$3:$AA$228,0),COLUMNS($AA$3:AA193)),"")</f>
        <v>Kassmatt Kasarani</v>
      </c>
      <c r="AD193" s="1">
        <f>IF(AC193&lt;&gt;"",INDEX($G$3:$I$228,MATCH($AB193,$AA$3:$AA$228,0),COLUMNS($AA$3:AB193)),"")</f>
        <v>19551.73</v>
      </c>
      <c r="AE193" s="1" t="str">
        <f>IF(AD193&lt;&gt;"",INDEX($G$3:$I$228,MATCH($AB193,$AA$3:$AA$228,0),COLUMNS($AA$3:AC193)),"")</f>
        <v>Nairobi</v>
      </c>
    </row>
    <row r="194" spans="1:31" x14ac:dyDescent="0.2">
      <c r="A194" s="2">
        <v>44754</v>
      </c>
      <c r="B194" s="1" t="s">
        <v>166</v>
      </c>
      <c r="C194" s="1" t="s">
        <v>3</v>
      </c>
      <c r="D194" s="1">
        <v>132989</v>
      </c>
      <c r="E194" s="3">
        <v>12365.84</v>
      </c>
      <c r="F194" s="1" t="s">
        <v>5</v>
      </c>
      <c r="G194" s="1" t="s">
        <v>170</v>
      </c>
      <c r="H194" s="3">
        <f>SUMIFS(Table1[Value],Table1[Outlets],G194)</f>
        <v>19017.5</v>
      </c>
      <c r="I194" s="1" t="str">
        <f>IFERROR(VLOOKUP(G194,Table1[[Outlets]:[Region]],2,0),"")</f>
        <v>Rift valley</v>
      </c>
      <c r="K194" s="1" t="b">
        <f t="shared" si="6"/>
        <v>0</v>
      </c>
      <c r="L194" s="1" t="str">
        <f>IF(K194=TRUE,ROWS($J$3:J194),"")</f>
        <v/>
      </c>
      <c r="M194" s="1" t="str">
        <f>IFERROR(SMALL($L$3:$L$228,ROWS($L$3:L194)),"")</f>
        <v/>
      </c>
      <c r="N194" s="1" t="str">
        <f>IF(M194&lt;&gt;"",INDEX($G$3:$I$228,MATCH($M194,$L$3:$L$228,0),COLUMNS($L$3:L194)),"")</f>
        <v/>
      </c>
      <c r="O194" s="3" t="str">
        <f>IF(N194&lt;&gt;"",INDEX($G$3:$I$228,MATCH($M194,$L$3:$L$228,0),COLUMNS($L$3:M194)),"")</f>
        <v/>
      </c>
      <c r="P194" s="1" t="str">
        <f>IF(O194&lt;&gt;"",INDEX($G$3:$I$228,MATCH($M194,$L$3:$L$228,0),COLUMNS($L$3:N194)),"")</f>
        <v/>
      </c>
      <c r="S194" s="1" t="b">
        <f t="shared" si="7"/>
        <v>0</v>
      </c>
      <c r="T194" s="1" t="str">
        <f>IF(S194=TRUE,ROWS($S$3:S194),"")</f>
        <v/>
      </c>
      <c r="U194" s="1" t="str">
        <f>IFERROR(SMALL($T$3:$T$228,ROWS($T$3:T194)),"")</f>
        <v/>
      </c>
      <c r="V194" s="1" t="str">
        <f>IF(U194&lt;&gt;"",INDEX($G$3:$I$228,MATCH($U194,$T$3:$T$228,0),COLUMNS($U$3:U194)),"")</f>
        <v/>
      </c>
      <c r="W194" s="1" t="str">
        <f>IF(V194&lt;&gt;"",INDEX($G$3:$I$228,MATCH($U194,$T$3:$T$228,0),COLUMNS($U$3:V194)),"")</f>
        <v/>
      </c>
      <c r="X194" s="1" t="str">
        <f>IF(W194&lt;&gt;"",INDEX($G$3:$I$228,MATCH($U194,$T$3:$T$228,0),COLUMNS($U$3:W194)),"")</f>
        <v/>
      </c>
      <c r="Z194" s="1" t="b">
        <f t="shared" si="8"/>
        <v>1</v>
      </c>
      <c r="AA194" s="1">
        <f>IF(Z194=TRUE,ROWS($Z$3:Z194),"")</f>
        <v>192</v>
      </c>
      <c r="AB194" s="1">
        <f>IFERROR(SMALL($AA$3:$AA$228,ROWS($AA$3:AA194)),"")</f>
        <v>192</v>
      </c>
      <c r="AC194" s="1" t="str">
        <f>IF(AB194&lt;&gt;"",INDEX($G$3:$I$228,MATCH($AB194,$AA$3:$AA$228,0),COLUMNS($AA$3:AA194)),"")</f>
        <v>Naivas Narok</v>
      </c>
      <c r="AD194" s="1">
        <f>IF(AC194&lt;&gt;"",INDEX($G$3:$I$228,MATCH($AB194,$AA$3:$AA$228,0),COLUMNS($AA$3:AB194)),"")</f>
        <v>19017.5</v>
      </c>
      <c r="AE194" s="1" t="str">
        <f>IF(AD194&lt;&gt;"",INDEX($G$3:$I$228,MATCH($AB194,$AA$3:$AA$228,0),COLUMNS($AA$3:AC194)),"")</f>
        <v>Rift valley</v>
      </c>
    </row>
    <row r="195" spans="1:31" x14ac:dyDescent="0.2">
      <c r="A195" s="2">
        <v>44754</v>
      </c>
      <c r="B195" s="1" t="s">
        <v>167</v>
      </c>
      <c r="C195" s="1" t="s">
        <v>3</v>
      </c>
      <c r="D195" s="1">
        <v>132991</v>
      </c>
      <c r="E195" s="3">
        <v>18446.14</v>
      </c>
      <c r="F195" s="1" t="s">
        <v>11</v>
      </c>
      <c r="G195" s="1" t="s">
        <v>103</v>
      </c>
      <c r="H195" s="3">
        <f>SUMIFS(Table1[Value],Table1[Outlets],G195)</f>
        <v>18892.27</v>
      </c>
      <c r="I195" s="1" t="str">
        <f>IFERROR(VLOOKUP(G195,Table1[[Outlets]:[Region]],2,0),"")</f>
        <v>Nairobi</v>
      </c>
      <c r="K195" s="1" t="b">
        <f t="shared" ref="K195:K228" si="9">AND($K$2&lt;&gt;"",ISNUMBER(SEARCH($K$2,G195)))</f>
        <v>0</v>
      </c>
      <c r="L195" s="1" t="str">
        <f>IF(K195=TRUE,ROWS($J$3:J195),"")</f>
        <v/>
      </c>
      <c r="M195" s="1" t="str">
        <f>IFERROR(SMALL($L$3:$L$228,ROWS($L$3:L195)),"")</f>
        <v/>
      </c>
      <c r="N195" s="1" t="str">
        <f>IF(M195&lt;&gt;"",INDEX($G$3:$I$228,MATCH($M195,$L$3:$L$228,0),COLUMNS($L$3:L195)),"")</f>
        <v/>
      </c>
      <c r="O195" s="3" t="str">
        <f>IF(N195&lt;&gt;"",INDEX($G$3:$I$228,MATCH($M195,$L$3:$L$228,0),COLUMNS($L$3:M195)),"")</f>
        <v/>
      </c>
      <c r="P195" s="1" t="str">
        <f>IF(O195&lt;&gt;"",INDEX($G$3:$I$228,MATCH($M195,$L$3:$L$228,0),COLUMNS($L$3:N195)),"")</f>
        <v/>
      </c>
      <c r="S195" s="1" t="b">
        <f t="shared" si="7"/>
        <v>0</v>
      </c>
      <c r="T195" s="1" t="str">
        <f>IF(S195=TRUE,ROWS($S$3:S195),"")</f>
        <v/>
      </c>
      <c r="U195" s="1" t="str">
        <f>IFERROR(SMALL($T$3:$T$228,ROWS($T$3:T195)),"")</f>
        <v/>
      </c>
      <c r="V195" s="1" t="str">
        <f>IF(U195&lt;&gt;"",INDEX($G$3:$I$228,MATCH($U195,$T$3:$T$228,0),COLUMNS($U$3:U195)),"")</f>
        <v/>
      </c>
      <c r="W195" s="1" t="str">
        <f>IF(V195&lt;&gt;"",INDEX($G$3:$I$228,MATCH($U195,$T$3:$T$228,0),COLUMNS($U$3:V195)),"")</f>
        <v/>
      </c>
      <c r="X195" s="1" t="str">
        <f>IF(W195&lt;&gt;"",INDEX($G$3:$I$228,MATCH($U195,$T$3:$T$228,0),COLUMNS($U$3:W195)),"")</f>
        <v/>
      </c>
      <c r="Z195" s="1" t="b">
        <f t="shared" si="8"/>
        <v>1</v>
      </c>
      <c r="AA195" s="1">
        <f>IF(Z195=TRUE,ROWS($Z$3:Z195),"")</f>
        <v>193</v>
      </c>
      <c r="AB195" s="1">
        <f>IFERROR(SMALL($AA$3:$AA$228,ROWS($AA$3:AA195)),"")</f>
        <v>193</v>
      </c>
      <c r="AC195" s="1" t="str">
        <f>IF(AB195&lt;&gt;"",INDEX($G$3:$I$228,MATCH($AB195,$AA$3:$AA$228,0),COLUMNS($AA$3:AA195)),"")</f>
        <v>Naivas Umoja</v>
      </c>
      <c r="AD195" s="1">
        <f>IF(AC195&lt;&gt;"",INDEX($G$3:$I$228,MATCH($AB195,$AA$3:$AA$228,0),COLUMNS($AA$3:AB195)),"")</f>
        <v>18892.27</v>
      </c>
      <c r="AE195" s="1" t="str">
        <f>IF(AD195&lt;&gt;"",INDEX($G$3:$I$228,MATCH($AB195,$AA$3:$AA$228,0),COLUMNS($AA$3:AC195)),"")</f>
        <v>Nairobi</v>
      </c>
    </row>
    <row r="196" spans="1:31" x14ac:dyDescent="0.2">
      <c r="A196" s="2">
        <v>44754</v>
      </c>
      <c r="B196" s="1" t="s">
        <v>168</v>
      </c>
      <c r="C196" s="1" t="s">
        <v>3</v>
      </c>
      <c r="D196" s="1">
        <v>132992</v>
      </c>
      <c r="E196" s="3">
        <v>41452.699999999997</v>
      </c>
      <c r="F196" s="1" t="s">
        <v>10</v>
      </c>
      <c r="G196" s="1" t="s">
        <v>240</v>
      </c>
      <c r="H196" s="3">
        <f>SUMIFS(Table1[Value],Table1[Outlets],G196)</f>
        <v>18052.189999999999</v>
      </c>
      <c r="I196" s="1" t="str">
        <f>IFERROR(VLOOKUP(G196,Table1[[Outlets]:[Region]],2,0),"")</f>
        <v>Rift valley</v>
      </c>
      <c r="K196" s="1" t="b">
        <f t="shared" si="9"/>
        <v>0</v>
      </c>
      <c r="L196" s="1" t="str">
        <f>IF(K196=TRUE,ROWS($J$3:J196),"")</f>
        <v/>
      </c>
      <c r="M196" s="1" t="str">
        <f>IFERROR(SMALL($L$3:$L$228,ROWS($L$3:L196)),"")</f>
        <v/>
      </c>
      <c r="N196" s="1" t="str">
        <f>IF(M196&lt;&gt;"",INDEX($G$3:$I$228,MATCH($M196,$L$3:$L$228,0),COLUMNS($L$3:L196)),"")</f>
        <v/>
      </c>
      <c r="O196" s="3" t="str">
        <f>IF(N196&lt;&gt;"",INDEX($G$3:$I$228,MATCH($M196,$L$3:$L$228,0),COLUMNS($L$3:M196)),"")</f>
        <v/>
      </c>
      <c r="P196" s="1" t="str">
        <f>IF(O196&lt;&gt;"",INDEX($G$3:$I$228,MATCH($M196,$L$3:$L$228,0),COLUMNS($L$3:N196)),"")</f>
        <v/>
      </c>
      <c r="S196" s="1" t="b">
        <f t="shared" ref="S196:S228" si="10">AND($S$2&lt;&gt;"",ISNUMBER(SEARCH($S$2,I196)))</f>
        <v>0</v>
      </c>
      <c r="T196" s="1" t="str">
        <f>IF(S196=TRUE,ROWS($S$3:S196),"")</f>
        <v/>
      </c>
      <c r="U196" s="1" t="str">
        <f>IFERROR(SMALL($T$3:$T$228,ROWS($T$3:T196)),"")</f>
        <v/>
      </c>
      <c r="V196" s="1" t="str">
        <f>IF(U196&lt;&gt;"",INDEX($G$3:$I$228,MATCH($U196,$T$3:$T$228,0),COLUMNS($U$3:U196)),"")</f>
        <v/>
      </c>
      <c r="W196" s="1" t="str">
        <f>IF(V196&lt;&gt;"",INDEX($G$3:$I$228,MATCH($U196,$T$3:$T$228,0),COLUMNS($U$3:V196)),"")</f>
        <v/>
      </c>
      <c r="X196" s="1" t="str">
        <f>IF(W196&lt;&gt;"",INDEX($G$3:$I$228,MATCH($U196,$T$3:$T$228,0),COLUMNS($U$3:W196)),"")</f>
        <v/>
      </c>
      <c r="Z196" s="1" t="b">
        <f t="shared" ref="Z196:Z228" si="11">IF($Z$2="",TRUE,ISNUMBER(SEARCH($Z$2,G196)))</f>
        <v>1</v>
      </c>
      <c r="AA196" s="1">
        <f>IF(Z196=TRUE,ROWS($Z$3:Z196),"")</f>
        <v>194</v>
      </c>
      <c r="AB196" s="1">
        <f>IFERROR(SMALL($AA$3:$AA$228,ROWS($AA$3:AA196)),"")</f>
        <v>194</v>
      </c>
      <c r="AC196" s="1" t="str">
        <f>IF(AB196&lt;&gt;"",INDEX($G$3:$I$228,MATCH($AB196,$AA$3:$AA$228,0),COLUMNS($AA$3:AA196)),"")</f>
        <v>Defco Gilgil</v>
      </c>
      <c r="AD196" s="1">
        <f>IF(AC196&lt;&gt;"",INDEX($G$3:$I$228,MATCH($AB196,$AA$3:$AA$228,0),COLUMNS($AA$3:AB196)),"")</f>
        <v>18052.189999999999</v>
      </c>
      <c r="AE196" s="1" t="str">
        <f>IF(AD196&lt;&gt;"",INDEX($G$3:$I$228,MATCH($AB196,$AA$3:$AA$228,0),COLUMNS($AA$3:AC196)),"")</f>
        <v>Rift valley</v>
      </c>
    </row>
    <row r="197" spans="1:31" x14ac:dyDescent="0.2">
      <c r="A197" s="2">
        <v>44754</v>
      </c>
      <c r="B197" s="1" t="s">
        <v>32</v>
      </c>
      <c r="C197" s="1" t="s">
        <v>3</v>
      </c>
      <c r="D197" s="1">
        <v>132993</v>
      </c>
      <c r="E197" s="3">
        <v>140513.85999999999</v>
      </c>
      <c r="F197" s="1" t="s">
        <v>4</v>
      </c>
      <c r="G197" s="1" t="s">
        <v>122</v>
      </c>
      <c r="H197" s="3">
        <f>SUMIFS(Table1[Value],Table1[Outlets],G197)</f>
        <v>16435.02</v>
      </c>
      <c r="I197" s="1" t="str">
        <f>IFERROR(VLOOKUP(G197,Table1[[Outlets]:[Region]],2,0),"")</f>
        <v>Nairobi</v>
      </c>
      <c r="K197" s="1" t="b">
        <f t="shared" si="9"/>
        <v>0</v>
      </c>
      <c r="L197" s="1" t="str">
        <f>IF(K197=TRUE,ROWS($J$3:J197),"")</f>
        <v/>
      </c>
      <c r="M197" s="1" t="str">
        <f>IFERROR(SMALL($L$3:$L$228,ROWS($L$3:L197)),"")</f>
        <v/>
      </c>
      <c r="N197" s="1" t="str">
        <f>IF(M197&lt;&gt;"",INDEX($G$3:$I$228,MATCH($M197,$L$3:$L$228,0),COLUMNS($L$3:L197)),"")</f>
        <v/>
      </c>
      <c r="O197" s="3" t="str">
        <f>IF(N197&lt;&gt;"",INDEX($G$3:$I$228,MATCH($M197,$L$3:$L$228,0),COLUMNS($L$3:M197)),"")</f>
        <v/>
      </c>
      <c r="P197" s="1" t="str">
        <f>IF(O197&lt;&gt;"",INDEX($G$3:$I$228,MATCH($M197,$L$3:$L$228,0),COLUMNS($L$3:N197)),"")</f>
        <v/>
      </c>
      <c r="S197" s="1" t="b">
        <f t="shared" si="10"/>
        <v>0</v>
      </c>
      <c r="T197" s="1" t="str">
        <f>IF(S197=TRUE,ROWS($S$3:S197),"")</f>
        <v/>
      </c>
      <c r="U197" s="1" t="str">
        <f>IFERROR(SMALL($T$3:$T$228,ROWS($T$3:T197)),"")</f>
        <v/>
      </c>
      <c r="V197" s="1" t="str">
        <f>IF(U197&lt;&gt;"",INDEX($G$3:$I$228,MATCH($U197,$T$3:$T$228,0),COLUMNS($U$3:U197)),"")</f>
        <v/>
      </c>
      <c r="W197" s="1" t="str">
        <f>IF(V197&lt;&gt;"",INDEX($G$3:$I$228,MATCH($U197,$T$3:$T$228,0),COLUMNS($U$3:V197)),"")</f>
        <v/>
      </c>
      <c r="X197" s="1" t="str">
        <f>IF(W197&lt;&gt;"",INDEX($G$3:$I$228,MATCH($U197,$T$3:$T$228,0),COLUMNS($U$3:W197)),"")</f>
        <v/>
      </c>
      <c r="Z197" s="1" t="b">
        <f t="shared" si="11"/>
        <v>1</v>
      </c>
      <c r="AA197" s="1">
        <f>IF(Z197=TRUE,ROWS($Z$3:Z197),"")</f>
        <v>195</v>
      </c>
      <c r="AB197" s="1">
        <f>IFERROR(SMALL($AA$3:$AA$228,ROWS($AA$3:AA197)),"")</f>
        <v>195</v>
      </c>
      <c r="AC197" s="1" t="str">
        <f>IF(AB197&lt;&gt;"",INDEX($G$3:$I$228,MATCH($AB197,$AA$3:$AA$228,0),COLUMNS($AA$3:AA197)),"")</f>
        <v>Cleanshelf Ruaka</v>
      </c>
      <c r="AD197" s="1">
        <f>IF(AC197&lt;&gt;"",INDEX($G$3:$I$228,MATCH($AB197,$AA$3:$AA$228,0),COLUMNS($AA$3:AB197)),"")</f>
        <v>16435.02</v>
      </c>
      <c r="AE197" s="1" t="str">
        <f>IF(AD197&lt;&gt;"",INDEX($G$3:$I$228,MATCH($AB197,$AA$3:$AA$228,0),COLUMNS($AA$3:AC197)),"")</f>
        <v>Nairobi</v>
      </c>
    </row>
    <row r="198" spans="1:31" x14ac:dyDescent="0.2">
      <c r="A198" s="2">
        <v>44754</v>
      </c>
      <c r="B198" s="1" t="s">
        <v>169</v>
      </c>
      <c r="C198" s="1" t="s">
        <v>251</v>
      </c>
      <c r="D198" s="1">
        <v>132994</v>
      </c>
      <c r="E198" s="3">
        <v>41996.82</v>
      </c>
      <c r="F198" s="1" t="s">
        <v>11</v>
      </c>
      <c r="G198" s="1" t="s">
        <v>204</v>
      </c>
      <c r="H198" s="3">
        <f>SUMIFS(Table1[Value],Table1[Outlets],G198)</f>
        <v>16060.37</v>
      </c>
      <c r="I198" s="1" t="str">
        <f>IFERROR(VLOOKUP(G198,Table1[[Outlets]:[Region]],2,0),"")</f>
        <v>Nairobi</v>
      </c>
      <c r="K198" s="1" t="b">
        <f t="shared" si="9"/>
        <v>0</v>
      </c>
      <c r="L198" s="1" t="str">
        <f>IF(K198=TRUE,ROWS($J$3:J198),"")</f>
        <v/>
      </c>
      <c r="M198" s="1" t="str">
        <f>IFERROR(SMALL($L$3:$L$228,ROWS($L$3:L198)),"")</f>
        <v/>
      </c>
      <c r="N198" s="1" t="str">
        <f>IF(M198&lt;&gt;"",INDEX($G$3:$I$228,MATCH($M198,$L$3:$L$228,0),COLUMNS($L$3:L198)),"")</f>
        <v/>
      </c>
      <c r="O198" s="3" t="str">
        <f>IF(N198&lt;&gt;"",INDEX($G$3:$I$228,MATCH($M198,$L$3:$L$228,0),COLUMNS($L$3:M198)),"")</f>
        <v/>
      </c>
      <c r="P198" s="1" t="str">
        <f>IF(O198&lt;&gt;"",INDEX($G$3:$I$228,MATCH($M198,$L$3:$L$228,0),COLUMNS($L$3:N198)),"")</f>
        <v/>
      </c>
      <c r="S198" s="1" t="b">
        <f t="shared" si="10"/>
        <v>0</v>
      </c>
      <c r="T198" s="1" t="str">
        <f>IF(S198=TRUE,ROWS($S$3:S198),"")</f>
        <v/>
      </c>
      <c r="U198" s="1" t="str">
        <f>IFERROR(SMALL($T$3:$T$228,ROWS($T$3:T198)),"")</f>
        <v/>
      </c>
      <c r="V198" s="1" t="str">
        <f>IF(U198&lt;&gt;"",INDEX($G$3:$I$228,MATCH($U198,$T$3:$T$228,0),COLUMNS($U$3:U198)),"")</f>
        <v/>
      </c>
      <c r="W198" s="1" t="str">
        <f>IF(V198&lt;&gt;"",INDEX($G$3:$I$228,MATCH($U198,$T$3:$T$228,0),COLUMNS($U$3:V198)),"")</f>
        <v/>
      </c>
      <c r="X198" s="1" t="str">
        <f>IF(W198&lt;&gt;"",INDEX($G$3:$I$228,MATCH($U198,$T$3:$T$228,0),COLUMNS($U$3:W198)),"")</f>
        <v/>
      </c>
      <c r="Z198" s="1" t="b">
        <f t="shared" si="11"/>
        <v>1</v>
      </c>
      <c r="AA198" s="1">
        <f>IF(Z198=TRUE,ROWS($Z$3:Z198),"")</f>
        <v>196</v>
      </c>
      <c r="AB198" s="1">
        <f>IFERROR(SMALL($AA$3:$AA$228,ROWS($AA$3:AA198)),"")</f>
        <v>196</v>
      </c>
      <c r="AC198" s="1" t="str">
        <f>IF(AB198&lt;&gt;"",INDEX($G$3:$I$228,MATCH($AB198,$AA$3:$AA$228,0),COLUMNS($AA$3:AA198)),"")</f>
        <v>Naivas Ronald Ngala</v>
      </c>
      <c r="AD198" s="1">
        <f>IF(AC198&lt;&gt;"",INDEX($G$3:$I$228,MATCH($AB198,$AA$3:$AA$228,0),COLUMNS($AA$3:AB198)),"")</f>
        <v>16060.37</v>
      </c>
      <c r="AE198" s="1" t="str">
        <f>IF(AD198&lt;&gt;"",INDEX($G$3:$I$228,MATCH($AB198,$AA$3:$AA$228,0),COLUMNS($AA$3:AC198)),"")</f>
        <v>Nairobi</v>
      </c>
    </row>
    <row r="199" spans="1:31" x14ac:dyDescent="0.2">
      <c r="A199" s="2">
        <v>44754</v>
      </c>
      <c r="B199" s="1" t="s">
        <v>170</v>
      </c>
      <c r="C199" s="1" t="s">
        <v>251</v>
      </c>
      <c r="D199" s="1">
        <v>132995</v>
      </c>
      <c r="E199" s="3">
        <v>19017.5</v>
      </c>
      <c r="F199" s="1" t="s">
        <v>11</v>
      </c>
      <c r="G199" s="1" t="s">
        <v>190</v>
      </c>
      <c r="H199" s="3">
        <f>SUMIFS(Table1[Value],Table1[Outlets],G199)</f>
        <v>15012.93</v>
      </c>
      <c r="I199" s="1" t="str">
        <f>IFERROR(VLOOKUP(G199,Table1[[Outlets]:[Region]],2,0),"")</f>
        <v>Nairobi</v>
      </c>
      <c r="K199" s="1" t="b">
        <f t="shared" si="9"/>
        <v>0</v>
      </c>
      <c r="L199" s="1" t="str">
        <f>IF(K199=TRUE,ROWS($J$3:J199),"")</f>
        <v/>
      </c>
      <c r="M199" s="1" t="str">
        <f>IFERROR(SMALL($L$3:$L$228,ROWS($L$3:L199)),"")</f>
        <v/>
      </c>
      <c r="N199" s="1" t="str">
        <f>IF(M199&lt;&gt;"",INDEX($G$3:$I$228,MATCH($M199,$L$3:$L$228,0),COLUMNS($L$3:L199)),"")</f>
        <v/>
      </c>
      <c r="O199" s="3" t="str">
        <f>IF(N199&lt;&gt;"",INDEX($G$3:$I$228,MATCH($M199,$L$3:$L$228,0),COLUMNS($L$3:M199)),"")</f>
        <v/>
      </c>
      <c r="P199" s="1" t="str">
        <f>IF(O199&lt;&gt;"",INDEX($G$3:$I$228,MATCH($M199,$L$3:$L$228,0),COLUMNS($L$3:N199)),"")</f>
        <v/>
      </c>
      <c r="S199" s="1" t="b">
        <f t="shared" si="10"/>
        <v>0</v>
      </c>
      <c r="T199" s="1" t="str">
        <f>IF(S199=TRUE,ROWS($S$3:S199),"")</f>
        <v/>
      </c>
      <c r="U199" s="1" t="str">
        <f>IFERROR(SMALL($T$3:$T$228,ROWS($T$3:T199)),"")</f>
        <v/>
      </c>
      <c r="V199" s="1" t="str">
        <f>IF(U199&lt;&gt;"",INDEX($G$3:$I$228,MATCH($U199,$T$3:$T$228,0),COLUMNS($U$3:U199)),"")</f>
        <v/>
      </c>
      <c r="W199" s="1" t="str">
        <f>IF(V199&lt;&gt;"",INDEX($G$3:$I$228,MATCH($U199,$T$3:$T$228,0),COLUMNS($U$3:V199)),"")</f>
        <v/>
      </c>
      <c r="X199" s="1" t="str">
        <f>IF(W199&lt;&gt;"",INDEX($G$3:$I$228,MATCH($U199,$T$3:$T$228,0),COLUMNS($U$3:W199)),"")</f>
        <v/>
      </c>
      <c r="Z199" s="1" t="b">
        <f t="shared" si="11"/>
        <v>1</v>
      </c>
      <c r="AA199" s="1">
        <f>IF(Z199=TRUE,ROWS($Z$3:Z199),"")</f>
        <v>197</v>
      </c>
      <c r="AB199" s="1">
        <f>IFERROR(SMALL($AA$3:$AA$228,ROWS($AA$3:AA199)),"")</f>
        <v>197</v>
      </c>
      <c r="AC199" s="1" t="str">
        <f>IF(AB199&lt;&gt;"",INDEX($G$3:$I$228,MATCH($AB199,$AA$3:$AA$228,0),COLUMNS($AA$3:AA199)),"")</f>
        <v>Naivas Lavington Curve</v>
      </c>
      <c r="AD199" s="1">
        <f>IF(AC199&lt;&gt;"",INDEX($G$3:$I$228,MATCH($AB199,$AA$3:$AA$228,0),COLUMNS($AA$3:AB199)),"")</f>
        <v>15012.93</v>
      </c>
      <c r="AE199" s="1" t="str">
        <f>IF(AD199&lt;&gt;"",INDEX($G$3:$I$228,MATCH($AB199,$AA$3:$AA$228,0),COLUMNS($AA$3:AC199)),"")</f>
        <v>Nairobi</v>
      </c>
    </row>
    <row r="200" spans="1:31" x14ac:dyDescent="0.2">
      <c r="A200" s="2">
        <v>44754</v>
      </c>
      <c r="B200" s="1" t="s">
        <v>126</v>
      </c>
      <c r="C200" s="1" t="s">
        <v>3</v>
      </c>
      <c r="D200" s="1">
        <v>132998</v>
      </c>
      <c r="E200" s="3">
        <v>28822.31</v>
      </c>
      <c r="F200" s="1" t="s">
        <v>9</v>
      </c>
      <c r="G200" s="1" t="s">
        <v>221</v>
      </c>
      <c r="H200" s="3">
        <f>SUMIFS(Table1[Value],Table1[Outlets],G200)</f>
        <v>14111.64</v>
      </c>
      <c r="I200" s="1" t="str">
        <f>IFERROR(VLOOKUP(G200,Table1[[Outlets]:[Region]],2,0),"")</f>
        <v>Nairobi</v>
      </c>
      <c r="K200" s="1" t="b">
        <f t="shared" si="9"/>
        <v>0</v>
      </c>
      <c r="L200" s="1" t="str">
        <f>IF(K200=TRUE,ROWS($J$3:J200),"")</f>
        <v/>
      </c>
      <c r="M200" s="1" t="str">
        <f>IFERROR(SMALL($L$3:$L$228,ROWS($L$3:L200)),"")</f>
        <v/>
      </c>
      <c r="N200" s="1" t="str">
        <f>IF(M200&lt;&gt;"",INDEX($G$3:$I$228,MATCH($M200,$L$3:$L$228,0),COLUMNS($L$3:L200)),"")</f>
        <v/>
      </c>
      <c r="O200" s="3" t="str">
        <f>IF(N200&lt;&gt;"",INDEX($G$3:$I$228,MATCH($M200,$L$3:$L$228,0),COLUMNS($L$3:M200)),"")</f>
        <v/>
      </c>
      <c r="P200" s="1" t="str">
        <f>IF(O200&lt;&gt;"",INDEX($G$3:$I$228,MATCH($M200,$L$3:$L$228,0),COLUMNS($L$3:N200)),"")</f>
        <v/>
      </c>
      <c r="S200" s="1" t="b">
        <f t="shared" si="10"/>
        <v>0</v>
      </c>
      <c r="T200" s="1" t="str">
        <f>IF(S200=TRUE,ROWS($S$3:S200),"")</f>
        <v/>
      </c>
      <c r="U200" s="1" t="str">
        <f>IFERROR(SMALL($T$3:$T$228,ROWS($T$3:T200)),"")</f>
        <v/>
      </c>
      <c r="V200" s="1" t="str">
        <f>IF(U200&lt;&gt;"",INDEX($G$3:$I$228,MATCH($U200,$T$3:$T$228,0),COLUMNS($U$3:U200)),"")</f>
        <v/>
      </c>
      <c r="W200" s="1" t="str">
        <f>IF(V200&lt;&gt;"",INDEX($G$3:$I$228,MATCH($U200,$T$3:$T$228,0),COLUMNS($U$3:V200)),"")</f>
        <v/>
      </c>
      <c r="X200" s="1" t="str">
        <f>IF(W200&lt;&gt;"",INDEX($G$3:$I$228,MATCH($U200,$T$3:$T$228,0),COLUMNS($U$3:W200)),"")</f>
        <v/>
      </c>
      <c r="Z200" s="1" t="b">
        <f t="shared" si="11"/>
        <v>1</v>
      </c>
      <c r="AA200" s="1">
        <f>IF(Z200=TRUE,ROWS($Z$3:Z200),"")</f>
        <v>198</v>
      </c>
      <c r="AB200" s="1">
        <f>IFERROR(SMALL($AA$3:$AA$228,ROWS($AA$3:AA200)),"")</f>
        <v>198</v>
      </c>
      <c r="AC200" s="1" t="str">
        <f>IF(AB200&lt;&gt;"",INDEX($G$3:$I$228,MATCH($AB200,$AA$3:$AA$228,0),COLUMNS($AA$3:AA200)),"")</f>
        <v>Naivas Komarock</v>
      </c>
      <c r="AD200" s="1">
        <f>IF(AC200&lt;&gt;"",INDEX($G$3:$I$228,MATCH($AB200,$AA$3:$AA$228,0),COLUMNS($AA$3:AB200)),"")</f>
        <v>14111.64</v>
      </c>
      <c r="AE200" s="1" t="str">
        <f>IF(AD200&lt;&gt;"",INDEX($G$3:$I$228,MATCH($AB200,$AA$3:$AA$228,0),COLUMNS($AA$3:AC200)),"")</f>
        <v>Nairobi</v>
      </c>
    </row>
    <row r="201" spans="1:31" x14ac:dyDescent="0.2">
      <c r="A201" s="2">
        <v>44754</v>
      </c>
      <c r="B201" s="1" t="s">
        <v>94</v>
      </c>
      <c r="C201" s="1" t="s">
        <v>3</v>
      </c>
      <c r="D201" s="1">
        <v>132999</v>
      </c>
      <c r="E201" s="3">
        <v>7840.59</v>
      </c>
      <c r="F201" s="1" t="s">
        <v>9</v>
      </c>
      <c r="G201" s="1" t="s">
        <v>242</v>
      </c>
      <c r="H201" s="3">
        <f>SUMIFS(Table1[Value],Table1[Outlets],G201)</f>
        <v>13342.44</v>
      </c>
      <c r="I201" s="1" t="str">
        <f>IFERROR(VLOOKUP(G201,Table1[[Outlets]:[Region]],2,0),"")</f>
        <v>Coast</v>
      </c>
      <c r="K201" s="1" t="b">
        <f t="shared" si="9"/>
        <v>0</v>
      </c>
      <c r="L201" s="1" t="str">
        <f>IF(K201=TRUE,ROWS($J$3:J201),"")</f>
        <v/>
      </c>
      <c r="M201" s="1" t="str">
        <f>IFERROR(SMALL($L$3:$L$228,ROWS($L$3:L201)),"")</f>
        <v/>
      </c>
      <c r="N201" s="1" t="str">
        <f>IF(M201&lt;&gt;"",INDEX($G$3:$I$228,MATCH($M201,$L$3:$L$228,0),COLUMNS($L$3:L201)),"")</f>
        <v/>
      </c>
      <c r="O201" s="3" t="str">
        <f>IF(N201&lt;&gt;"",INDEX($G$3:$I$228,MATCH($M201,$L$3:$L$228,0),COLUMNS($L$3:M201)),"")</f>
        <v/>
      </c>
      <c r="P201" s="1" t="str">
        <f>IF(O201&lt;&gt;"",INDEX($G$3:$I$228,MATCH($M201,$L$3:$L$228,0),COLUMNS($L$3:N201)),"")</f>
        <v/>
      </c>
      <c r="S201" s="1" t="b">
        <f t="shared" si="10"/>
        <v>0</v>
      </c>
      <c r="T201" s="1" t="str">
        <f>IF(S201=TRUE,ROWS($S$3:S201),"")</f>
        <v/>
      </c>
      <c r="U201" s="1" t="str">
        <f>IFERROR(SMALL($T$3:$T$228,ROWS($T$3:T201)),"")</f>
        <v/>
      </c>
      <c r="V201" s="1" t="str">
        <f>IF(U201&lt;&gt;"",INDEX($G$3:$I$228,MATCH($U201,$T$3:$T$228,0),COLUMNS($U$3:U201)),"")</f>
        <v/>
      </c>
      <c r="W201" s="1" t="str">
        <f>IF(V201&lt;&gt;"",INDEX($G$3:$I$228,MATCH($U201,$T$3:$T$228,0),COLUMNS($U$3:V201)),"")</f>
        <v/>
      </c>
      <c r="X201" s="1" t="str">
        <f>IF(W201&lt;&gt;"",INDEX($G$3:$I$228,MATCH($U201,$T$3:$T$228,0),COLUMNS($U$3:W201)),"")</f>
        <v/>
      </c>
      <c r="Z201" s="1" t="b">
        <f t="shared" si="11"/>
        <v>1</v>
      </c>
      <c r="AA201" s="1">
        <f>IF(Z201=TRUE,ROWS($Z$3:Z201),"")</f>
        <v>199</v>
      </c>
      <c r="AB201" s="1">
        <f>IFERROR(SMALL($AA$3:$AA$228,ROWS($AA$3:AA201)),"")</f>
        <v>199</v>
      </c>
      <c r="AC201" s="1" t="str">
        <f>IF(AB201&lt;&gt;"",INDEX($G$3:$I$228,MATCH($AB201,$AA$3:$AA$228,0),COLUMNS($AA$3:AA201)),"")</f>
        <v>Defco Nyali</v>
      </c>
      <c r="AD201" s="1">
        <f>IF(AC201&lt;&gt;"",INDEX($G$3:$I$228,MATCH($AB201,$AA$3:$AA$228,0),COLUMNS($AA$3:AB201)),"")</f>
        <v>13342.44</v>
      </c>
      <c r="AE201" s="1" t="str">
        <f>IF(AD201&lt;&gt;"",INDEX($G$3:$I$228,MATCH($AB201,$AA$3:$AA$228,0),COLUMNS($AA$3:AC201)),"")</f>
        <v>Coast</v>
      </c>
    </row>
    <row r="202" spans="1:31" x14ac:dyDescent="0.2">
      <c r="A202" s="2">
        <v>44754</v>
      </c>
      <c r="B202" s="1" t="s">
        <v>42</v>
      </c>
      <c r="C202" s="1" t="s">
        <v>3</v>
      </c>
      <c r="D202" s="1">
        <v>133000</v>
      </c>
      <c r="E202" s="3">
        <v>55170.79</v>
      </c>
      <c r="F202" s="1" t="s">
        <v>9</v>
      </c>
      <c r="G202" s="1" t="s">
        <v>37</v>
      </c>
      <c r="H202" s="3">
        <f>SUMIFS(Table1[Value],Table1[Outlets],G202)</f>
        <v>13179.68</v>
      </c>
      <c r="I202" s="1" t="str">
        <f>IFERROR(VLOOKUP(G202,Table1[[Outlets]:[Region]],2,0),"")</f>
        <v>Nairobi</v>
      </c>
      <c r="K202" s="1" t="b">
        <f t="shared" si="9"/>
        <v>0</v>
      </c>
      <c r="L202" s="1" t="str">
        <f>IF(K202=TRUE,ROWS($J$3:J202),"")</f>
        <v/>
      </c>
      <c r="M202" s="1" t="str">
        <f>IFERROR(SMALL($L$3:$L$228,ROWS($L$3:L202)),"")</f>
        <v/>
      </c>
      <c r="N202" s="1" t="str">
        <f>IF(M202&lt;&gt;"",INDEX($G$3:$I$228,MATCH($M202,$L$3:$L$228,0),COLUMNS($L$3:L202)),"")</f>
        <v/>
      </c>
      <c r="O202" s="3" t="str">
        <f>IF(N202&lt;&gt;"",INDEX($G$3:$I$228,MATCH($M202,$L$3:$L$228,0),COLUMNS($L$3:M202)),"")</f>
        <v/>
      </c>
      <c r="P202" s="1" t="str">
        <f>IF(O202&lt;&gt;"",INDEX($G$3:$I$228,MATCH($M202,$L$3:$L$228,0),COLUMNS($L$3:N202)),"")</f>
        <v/>
      </c>
      <c r="S202" s="1" t="b">
        <f t="shared" si="10"/>
        <v>0</v>
      </c>
      <c r="T202" s="1" t="str">
        <f>IF(S202=TRUE,ROWS($S$3:S202),"")</f>
        <v/>
      </c>
      <c r="U202" s="1" t="str">
        <f>IFERROR(SMALL($T$3:$T$228,ROWS($T$3:T202)),"")</f>
        <v/>
      </c>
      <c r="V202" s="1" t="str">
        <f>IF(U202&lt;&gt;"",INDEX($G$3:$I$228,MATCH($U202,$T$3:$T$228,0),COLUMNS($U$3:U202)),"")</f>
        <v/>
      </c>
      <c r="W202" s="1" t="str">
        <f>IF(V202&lt;&gt;"",INDEX($G$3:$I$228,MATCH($U202,$T$3:$T$228,0),COLUMNS($U$3:V202)),"")</f>
        <v/>
      </c>
      <c r="X202" s="1" t="str">
        <f>IF(W202&lt;&gt;"",INDEX($G$3:$I$228,MATCH($U202,$T$3:$T$228,0),COLUMNS($U$3:W202)),"")</f>
        <v/>
      </c>
      <c r="Z202" s="1" t="b">
        <f t="shared" si="11"/>
        <v>1</v>
      </c>
      <c r="AA202" s="1">
        <f>IF(Z202=TRUE,ROWS($Z$3:Z202),"")</f>
        <v>200</v>
      </c>
      <c r="AB202" s="1">
        <f>IFERROR(SMALL($AA$3:$AA$228,ROWS($AA$3:AA202)),"")</f>
        <v>200</v>
      </c>
      <c r="AC202" s="1" t="str">
        <f>IF(AB202&lt;&gt;"",INDEX($G$3:$I$228,MATCH($AB202,$AA$3:$AA$228,0),COLUMNS($AA$3:AA202)),"")</f>
        <v>Cleanshelf Kiambu</v>
      </c>
      <c r="AD202" s="1">
        <f>IF(AC202&lt;&gt;"",INDEX($G$3:$I$228,MATCH($AB202,$AA$3:$AA$228,0),COLUMNS($AA$3:AB202)),"")</f>
        <v>13179.68</v>
      </c>
      <c r="AE202" s="1" t="str">
        <f>IF(AD202&lt;&gt;"",INDEX($G$3:$I$228,MATCH($AB202,$AA$3:$AA$228,0),COLUMNS($AA$3:AC202)),"")</f>
        <v>Nairobi</v>
      </c>
    </row>
    <row r="203" spans="1:31" x14ac:dyDescent="0.2">
      <c r="A203" s="2">
        <v>44754</v>
      </c>
      <c r="B203" s="1" t="s">
        <v>65</v>
      </c>
      <c r="C203" s="1" t="s">
        <v>3</v>
      </c>
      <c r="D203" s="1">
        <v>133001</v>
      </c>
      <c r="E203" s="3">
        <v>491294.27</v>
      </c>
      <c r="F203" s="1" t="s">
        <v>8</v>
      </c>
      <c r="G203" s="1" t="s">
        <v>41</v>
      </c>
      <c r="H203" s="3">
        <f>SUMIFS(Table1[Value],Table1[Outlets],G203)</f>
        <v>12732.69</v>
      </c>
      <c r="I203" s="1" t="str">
        <f>IFERROR(VLOOKUP(G203,Table1[[Outlets]:[Region]],2,0),"")</f>
        <v>Nairobi</v>
      </c>
      <c r="K203" s="1" t="b">
        <f t="shared" si="9"/>
        <v>0</v>
      </c>
      <c r="L203" s="1" t="str">
        <f>IF(K203=TRUE,ROWS($J$3:J203),"")</f>
        <v/>
      </c>
      <c r="M203" s="1" t="str">
        <f>IFERROR(SMALL($L$3:$L$228,ROWS($L$3:L203)),"")</f>
        <v/>
      </c>
      <c r="N203" s="1" t="str">
        <f>IF(M203&lt;&gt;"",INDEX($G$3:$I$228,MATCH($M203,$L$3:$L$228,0),COLUMNS($L$3:L203)),"")</f>
        <v/>
      </c>
      <c r="O203" s="3" t="str">
        <f>IF(N203&lt;&gt;"",INDEX($G$3:$I$228,MATCH($M203,$L$3:$L$228,0),COLUMNS($L$3:M203)),"")</f>
        <v/>
      </c>
      <c r="P203" s="1" t="str">
        <f>IF(O203&lt;&gt;"",INDEX($G$3:$I$228,MATCH($M203,$L$3:$L$228,0),COLUMNS($L$3:N203)),"")</f>
        <v/>
      </c>
      <c r="S203" s="1" t="b">
        <f t="shared" si="10"/>
        <v>0</v>
      </c>
      <c r="T203" s="1" t="str">
        <f>IF(S203=TRUE,ROWS($S$3:S203),"")</f>
        <v/>
      </c>
      <c r="U203" s="1" t="str">
        <f>IFERROR(SMALL($T$3:$T$228,ROWS($T$3:T203)),"")</f>
        <v/>
      </c>
      <c r="V203" s="1" t="str">
        <f>IF(U203&lt;&gt;"",INDEX($G$3:$I$228,MATCH($U203,$T$3:$T$228,0),COLUMNS($U$3:U203)),"")</f>
        <v/>
      </c>
      <c r="W203" s="1" t="str">
        <f>IF(V203&lt;&gt;"",INDEX($G$3:$I$228,MATCH($U203,$T$3:$T$228,0),COLUMNS($U$3:V203)),"")</f>
        <v/>
      </c>
      <c r="X203" s="1" t="str">
        <f>IF(W203&lt;&gt;"",INDEX($G$3:$I$228,MATCH($U203,$T$3:$T$228,0),COLUMNS($U$3:W203)),"")</f>
        <v/>
      </c>
      <c r="Z203" s="1" t="b">
        <f t="shared" si="11"/>
        <v>1</v>
      </c>
      <c r="AA203" s="1">
        <f>IF(Z203=TRUE,ROWS($Z$3:Z203),"")</f>
        <v>201</v>
      </c>
      <c r="AB203" s="1">
        <f>IFERROR(SMALL($AA$3:$AA$228,ROWS($AA$3:AA203)),"")</f>
        <v>201</v>
      </c>
      <c r="AC203" s="1" t="str">
        <f>IF(AB203&lt;&gt;"",INDEX($G$3:$I$228,MATCH($AB203,$AA$3:$AA$228,0),COLUMNS($AA$3:AA203)),"")</f>
        <v>Naivas Ngong Town 2</v>
      </c>
      <c r="AD203" s="1">
        <f>IF(AC203&lt;&gt;"",INDEX($G$3:$I$228,MATCH($AB203,$AA$3:$AA$228,0),COLUMNS($AA$3:AB203)),"")</f>
        <v>12732.69</v>
      </c>
      <c r="AE203" s="1" t="str">
        <f>IF(AD203&lt;&gt;"",INDEX($G$3:$I$228,MATCH($AB203,$AA$3:$AA$228,0),COLUMNS($AA$3:AC203)),"")</f>
        <v>Nairobi</v>
      </c>
    </row>
    <row r="204" spans="1:31" x14ac:dyDescent="0.2">
      <c r="A204" s="2">
        <v>44755</v>
      </c>
      <c r="B204" s="1" t="s">
        <v>78</v>
      </c>
      <c r="C204" s="1" t="s">
        <v>3</v>
      </c>
      <c r="D204" s="1">
        <v>133011</v>
      </c>
      <c r="E204" s="3">
        <v>20880.490000000002</v>
      </c>
      <c r="F204" s="1" t="s">
        <v>11</v>
      </c>
      <c r="G204" s="1" t="s">
        <v>166</v>
      </c>
      <c r="H204" s="3">
        <f>SUMIFS(Table1[Value],Table1[Outlets],G204)</f>
        <v>12365.84</v>
      </c>
      <c r="I204" s="1" t="str">
        <f>IFERROR(VLOOKUP(G204,Table1[[Outlets]:[Region]],2,0),"")</f>
        <v>Nairobi</v>
      </c>
      <c r="K204" s="1" t="b">
        <f t="shared" si="9"/>
        <v>0</v>
      </c>
      <c r="L204" s="1" t="str">
        <f>IF(K204=TRUE,ROWS($J$3:J204),"")</f>
        <v/>
      </c>
      <c r="M204" s="1" t="str">
        <f>IFERROR(SMALL($L$3:$L$228,ROWS($L$3:L204)),"")</f>
        <v/>
      </c>
      <c r="N204" s="1" t="str">
        <f>IF(M204&lt;&gt;"",INDEX($G$3:$I$228,MATCH($M204,$L$3:$L$228,0),COLUMNS($L$3:L204)),"")</f>
        <v/>
      </c>
      <c r="O204" s="3" t="str">
        <f>IF(N204&lt;&gt;"",INDEX($G$3:$I$228,MATCH($M204,$L$3:$L$228,0),COLUMNS($L$3:M204)),"")</f>
        <v/>
      </c>
      <c r="P204" s="1" t="str">
        <f>IF(O204&lt;&gt;"",INDEX($G$3:$I$228,MATCH($M204,$L$3:$L$228,0),COLUMNS($L$3:N204)),"")</f>
        <v/>
      </c>
      <c r="S204" s="1" t="b">
        <f t="shared" si="10"/>
        <v>0</v>
      </c>
      <c r="T204" s="1" t="str">
        <f>IF(S204=TRUE,ROWS($S$3:S204),"")</f>
        <v/>
      </c>
      <c r="U204" s="1" t="str">
        <f>IFERROR(SMALL($T$3:$T$228,ROWS($T$3:T204)),"")</f>
        <v/>
      </c>
      <c r="V204" s="1" t="str">
        <f>IF(U204&lt;&gt;"",INDEX($G$3:$I$228,MATCH($U204,$T$3:$T$228,0),COLUMNS($U$3:U204)),"")</f>
        <v/>
      </c>
      <c r="W204" s="1" t="str">
        <f>IF(V204&lt;&gt;"",INDEX($G$3:$I$228,MATCH($U204,$T$3:$T$228,0),COLUMNS($U$3:V204)),"")</f>
        <v/>
      </c>
      <c r="X204" s="1" t="str">
        <f>IF(W204&lt;&gt;"",INDEX($G$3:$I$228,MATCH($U204,$T$3:$T$228,0),COLUMNS($U$3:W204)),"")</f>
        <v/>
      </c>
      <c r="Z204" s="1" t="b">
        <f t="shared" si="11"/>
        <v>1</v>
      </c>
      <c r="AA204" s="1">
        <f>IF(Z204=TRUE,ROWS($Z$3:Z204),"")</f>
        <v>202</v>
      </c>
      <c r="AB204" s="1">
        <f>IFERROR(SMALL($AA$3:$AA$228,ROWS($AA$3:AA204)),"")</f>
        <v>202</v>
      </c>
      <c r="AC204" s="1" t="str">
        <f>IF(AB204&lt;&gt;"",INDEX($G$3:$I$228,MATCH($AB204,$AA$3:$AA$228,0),COLUMNS($AA$3:AA204)),"")</f>
        <v>Cleanshelf Langata</v>
      </c>
      <c r="AD204" s="1">
        <f>IF(AC204&lt;&gt;"",INDEX($G$3:$I$228,MATCH($AB204,$AA$3:$AA$228,0),COLUMNS($AA$3:AB204)),"")</f>
        <v>12365.84</v>
      </c>
      <c r="AE204" s="1" t="str">
        <f>IF(AD204&lt;&gt;"",INDEX($G$3:$I$228,MATCH($AB204,$AA$3:$AA$228,0),COLUMNS($AA$3:AC204)),"")</f>
        <v>Nairobi</v>
      </c>
    </row>
    <row r="205" spans="1:31" x14ac:dyDescent="0.2">
      <c r="A205" s="2">
        <v>44755</v>
      </c>
      <c r="B205" s="1" t="s">
        <v>109</v>
      </c>
      <c r="C205" s="1" t="s">
        <v>3</v>
      </c>
      <c r="D205" s="1">
        <v>133012</v>
      </c>
      <c r="E205" s="3">
        <v>3560189.73</v>
      </c>
      <c r="F205" s="1" t="s">
        <v>11</v>
      </c>
      <c r="G205" s="1" t="s">
        <v>230</v>
      </c>
      <c r="H205" s="3">
        <f>SUMIFS(Table1[Value],Table1[Outlets],G205)</f>
        <v>12162.93</v>
      </c>
      <c r="I205" s="1" t="str">
        <f>IFERROR(VLOOKUP(G205,Table1[[Outlets]:[Region]],2,0),"")</f>
        <v>Rift valley</v>
      </c>
      <c r="K205" s="1" t="b">
        <f t="shared" si="9"/>
        <v>0</v>
      </c>
      <c r="L205" s="1" t="str">
        <f>IF(K205=TRUE,ROWS($J$3:J205),"")</f>
        <v/>
      </c>
      <c r="M205" s="1" t="str">
        <f>IFERROR(SMALL($L$3:$L$228,ROWS($L$3:L205)),"")</f>
        <v/>
      </c>
      <c r="N205" s="1" t="str">
        <f>IF(M205&lt;&gt;"",INDEX($G$3:$I$228,MATCH($M205,$L$3:$L$228,0),COLUMNS($L$3:L205)),"")</f>
        <v/>
      </c>
      <c r="O205" s="3" t="str">
        <f>IF(N205&lt;&gt;"",INDEX($G$3:$I$228,MATCH($M205,$L$3:$L$228,0),COLUMNS($L$3:M205)),"")</f>
        <v/>
      </c>
      <c r="P205" s="1" t="str">
        <f>IF(O205&lt;&gt;"",INDEX($G$3:$I$228,MATCH($M205,$L$3:$L$228,0),COLUMNS($L$3:N205)),"")</f>
        <v/>
      </c>
      <c r="S205" s="1" t="b">
        <f t="shared" si="10"/>
        <v>0</v>
      </c>
      <c r="T205" s="1" t="str">
        <f>IF(S205=TRUE,ROWS($S$3:S205),"")</f>
        <v/>
      </c>
      <c r="U205" s="1" t="str">
        <f>IFERROR(SMALL($T$3:$T$228,ROWS($T$3:T205)),"")</f>
        <v/>
      </c>
      <c r="V205" s="1" t="str">
        <f>IF(U205&lt;&gt;"",INDEX($G$3:$I$228,MATCH($U205,$T$3:$T$228,0),COLUMNS($U$3:U205)),"")</f>
        <v/>
      </c>
      <c r="W205" s="1" t="str">
        <f>IF(V205&lt;&gt;"",INDEX($G$3:$I$228,MATCH($U205,$T$3:$T$228,0),COLUMNS($U$3:V205)),"")</f>
        <v/>
      </c>
      <c r="X205" s="1" t="str">
        <f>IF(W205&lt;&gt;"",INDEX($G$3:$I$228,MATCH($U205,$T$3:$T$228,0),COLUMNS($U$3:W205)),"")</f>
        <v/>
      </c>
      <c r="Z205" s="1" t="b">
        <f t="shared" si="11"/>
        <v>1</v>
      </c>
      <c r="AA205" s="1">
        <f>IF(Z205=TRUE,ROWS($Z$3:Z205),"")</f>
        <v>203</v>
      </c>
      <c r="AB205" s="1">
        <f>IFERROR(SMALL($AA$3:$AA$228,ROWS($AA$3:AA205)),"")</f>
        <v>203</v>
      </c>
      <c r="AC205" s="1" t="str">
        <f>IF(AB205&lt;&gt;"",INDEX($G$3:$I$228,MATCH($AB205,$AA$3:$AA$228,0),COLUMNS($AA$3:AA205)),"")</f>
        <v>Quickmart Kitale</v>
      </c>
      <c r="AD205" s="1">
        <f>IF(AC205&lt;&gt;"",INDEX($G$3:$I$228,MATCH($AB205,$AA$3:$AA$228,0),COLUMNS($AA$3:AB205)),"")</f>
        <v>12162.93</v>
      </c>
      <c r="AE205" s="1" t="str">
        <f>IF(AD205&lt;&gt;"",INDEX($G$3:$I$228,MATCH($AB205,$AA$3:$AA$228,0),COLUMNS($AA$3:AC205)),"")</f>
        <v>Rift valley</v>
      </c>
    </row>
    <row r="206" spans="1:31" x14ac:dyDescent="0.2">
      <c r="A206" s="2">
        <v>44755</v>
      </c>
      <c r="B206" s="1" t="s">
        <v>87</v>
      </c>
      <c r="C206" s="1" t="s">
        <v>3</v>
      </c>
      <c r="D206" s="1">
        <v>133013</v>
      </c>
      <c r="E206" s="3">
        <v>67271.100000000006</v>
      </c>
      <c r="F206" s="1" t="s">
        <v>10</v>
      </c>
      <c r="G206" s="1" t="s">
        <v>227</v>
      </c>
      <c r="H206" s="3">
        <f>SUMIFS(Table1[Value],Table1[Outlets],G206)</f>
        <v>12162.93</v>
      </c>
      <c r="I206" s="1" t="str">
        <f>IFERROR(VLOOKUP(G206,Table1[[Outlets]:[Region]],2,0),"")</f>
        <v>Nairobi</v>
      </c>
      <c r="K206" s="1" t="b">
        <f t="shared" si="9"/>
        <v>0</v>
      </c>
      <c r="L206" s="1" t="str">
        <f>IF(K206=TRUE,ROWS($J$3:J206),"")</f>
        <v/>
      </c>
      <c r="M206" s="1" t="str">
        <f>IFERROR(SMALL($L$3:$L$228,ROWS($L$3:L206)),"")</f>
        <v/>
      </c>
      <c r="N206" s="1" t="str">
        <f>IF(M206&lt;&gt;"",INDEX($G$3:$I$228,MATCH($M206,$L$3:$L$228,0),COLUMNS($L$3:L206)),"")</f>
        <v/>
      </c>
      <c r="O206" s="3" t="str">
        <f>IF(N206&lt;&gt;"",INDEX($G$3:$I$228,MATCH($M206,$L$3:$L$228,0),COLUMNS($L$3:M206)),"")</f>
        <v/>
      </c>
      <c r="P206" s="1" t="str">
        <f>IF(O206&lt;&gt;"",INDEX($G$3:$I$228,MATCH($M206,$L$3:$L$228,0),COLUMNS($L$3:N206)),"")</f>
        <v/>
      </c>
      <c r="S206" s="1" t="b">
        <f t="shared" si="10"/>
        <v>0</v>
      </c>
      <c r="T206" s="1" t="str">
        <f>IF(S206=TRUE,ROWS($S$3:S206),"")</f>
        <v/>
      </c>
      <c r="U206" s="1" t="str">
        <f>IFERROR(SMALL($T$3:$T$228,ROWS($T$3:T206)),"")</f>
        <v/>
      </c>
      <c r="V206" s="1" t="str">
        <f>IF(U206&lt;&gt;"",INDEX($G$3:$I$228,MATCH($U206,$T$3:$T$228,0),COLUMNS($U$3:U206)),"")</f>
        <v/>
      </c>
      <c r="W206" s="1" t="str">
        <f>IF(V206&lt;&gt;"",INDEX($G$3:$I$228,MATCH($U206,$T$3:$T$228,0),COLUMNS($U$3:V206)),"")</f>
        <v/>
      </c>
      <c r="X206" s="1" t="str">
        <f>IF(W206&lt;&gt;"",INDEX($G$3:$I$228,MATCH($U206,$T$3:$T$228,0),COLUMNS($U$3:W206)),"")</f>
        <v/>
      </c>
      <c r="Z206" s="1" t="b">
        <f t="shared" si="11"/>
        <v>1</v>
      </c>
      <c r="AA206" s="1">
        <f>IF(Z206=TRUE,ROWS($Z$3:Z206),"")</f>
        <v>204</v>
      </c>
      <c r="AB206" s="1">
        <f>IFERROR(SMALL($AA$3:$AA$228,ROWS($AA$3:AA206)),"")</f>
        <v>204</v>
      </c>
      <c r="AC206" s="1" t="str">
        <f>IF(AB206&lt;&gt;"",INDEX($G$3:$I$228,MATCH($AB206,$AA$3:$AA$228,0),COLUMNS($AA$3:AA206)),"")</f>
        <v>Quickmart Pionner</v>
      </c>
      <c r="AD206" s="1">
        <f>IF(AC206&lt;&gt;"",INDEX($G$3:$I$228,MATCH($AB206,$AA$3:$AA$228,0),COLUMNS($AA$3:AB206)),"")</f>
        <v>12162.93</v>
      </c>
      <c r="AE206" s="1" t="str">
        <f>IF(AD206&lt;&gt;"",INDEX($G$3:$I$228,MATCH($AB206,$AA$3:$AA$228,0),COLUMNS($AA$3:AC206)),"")</f>
        <v>Nairobi</v>
      </c>
    </row>
    <row r="207" spans="1:31" x14ac:dyDescent="0.2">
      <c r="A207" s="2">
        <v>44755</v>
      </c>
      <c r="B207" s="1" t="s">
        <v>171</v>
      </c>
      <c r="C207" s="1" t="s">
        <v>3</v>
      </c>
      <c r="D207" s="1">
        <v>133016</v>
      </c>
      <c r="E207" s="3">
        <v>31143.96</v>
      </c>
      <c r="F207" s="1" t="s">
        <v>4</v>
      </c>
      <c r="G207" s="1" t="s">
        <v>188</v>
      </c>
      <c r="H207" s="3">
        <f>SUMIFS(Table1[Value],Table1[Outlets],G207)</f>
        <v>11817.26</v>
      </c>
      <c r="I207" s="1" t="str">
        <f>IFERROR(VLOOKUP(G207,Table1[[Outlets]:[Region]],2,0),"")</f>
        <v>Nairobi</v>
      </c>
      <c r="K207" s="1" t="b">
        <f t="shared" si="9"/>
        <v>0</v>
      </c>
      <c r="L207" s="1" t="str">
        <f>IF(K207=TRUE,ROWS($J$3:J207),"")</f>
        <v/>
      </c>
      <c r="M207" s="1" t="str">
        <f>IFERROR(SMALL($L$3:$L$228,ROWS($L$3:L207)),"")</f>
        <v/>
      </c>
      <c r="N207" s="1" t="str">
        <f>IF(M207&lt;&gt;"",INDEX($G$3:$I$228,MATCH($M207,$L$3:$L$228,0),COLUMNS($L$3:L207)),"")</f>
        <v/>
      </c>
      <c r="O207" s="3" t="str">
        <f>IF(N207&lt;&gt;"",INDEX($G$3:$I$228,MATCH($M207,$L$3:$L$228,0),COLUMNS($L$3:M207)),"")</f>
        <v/>
      </c>
      <c r="P207" s="1" t="str">
        <f>IF(O207&lt;&gt;"",INDEX($G$3:$I$228,MATCH($M207,$L$3:$L$228,0),COLUMNS($L$3:N207)),"")</f>
        <v/>
      </c>
      <c r="S207" s="1" t="b">
        <f t="shared" si="10"/>
        <v>0</v>
      </c>
      <c r="T207" s="1" t="str">
        <f>IF(S207=TRUE,ROWS($S$3:S207),"")</f>
        <v/>
      </c>
      <c r="U207" s="1" t="str">
        <f>IFERROR(SMALL($T$3:$T$228,ROWS($T$3:T207)),"")</f>
        <v/>
      </c>
      <c r="V207" s="1" t="str">
        <f>IF(U207&lt;&gt;"",INDEX($G$3:$I$228,MATCH($U207,$T$3:$T$228,0),COLUMNS($U$3:U207)),"")</f>
        <v/>
      </c>
      <c r="W207" s="1" t="str">
        <f>IF(V207&lt;&gt;"",INDEX($G$3:$I$228,MATCH($U207,$T$3:$T$228,0),COLUMNS($U$3:V207)),"")</f>
        <v/>
      </c>
      <c r="X207" s="1" t="str">
        <f>IF(W207&lt;&gt;"",INDEX($G$3:$I$228,MATCH($U207,$T$3:$T$228,0),COLUMNS($U$3:W207)),"")</f>
        <v/>
      </c>
      <c r="Z207" s="1" t="b">
        <f t="shared" si="11"/>
        <v>1</v>
      </c>
      <c r="AA207" s="1">
        <f>IF(Z207=TRUE,ROWS($Z$3:Z207),"")</f>
        <v>205</v>
      </c>
      <c r="AB207" s="1">
        <f>IFERROR(SMALL($AA$3:$AA$228,ROWS($AA$3:AA207)),"")</f>
        <v>205</v>
      </c>
      <c r="AC207" s="1" t="str">
        <f>IF(AB207&lt;&gt;"",INDEX($G$3:$I$228,MATCH($AB207,$AA$3:$AA$228,0),COLUMNS($AA$3:AA207)),"")</f>
        <v>Leestar Express</v>
      </c>
      <c r="AD207" s="1">
        <f>IF(AC207&lt;&gt;"",INDEX($G$3:$I$228,MATCH($AB207,$AA$3:$AA$228,0),COLUMNS($AA$3:AB207)),"")</f>
        <v>11817.26</v>
      </c>
      <c r="AE207" s="1" t="str">
        <f>IF(AD207&lt;&gt;"",INDEX($G$3:$I$228,MATCH($AB207,$AA$3:$AA$228,0),COLUMNS($AA$3:AC207)),"")</f>
        <v>Nairobi</v>
      </c>
    </row>
    <row r="208" spans="1:31" x14ac:dyDescent="0.2">
      <c r="A208" s="2">
        <v>44755</v>
      </c>
      <c r="B208" s="1" t="s">
        <v>86</v>
      </c>
      <c r="C208" s="1" t="s">
        <v>3</v>
      </c>
      <c r="D208" s="1">
        <v>133017</v>
      </c>
      <c r="E208" s="3">
        <v>45872.88</v>
      </c>
      <c r="F208" s="1" t="s">
        <v>11</v>
      </c>
      <c r="G208" s="1" t="s">
        <v>145</v>
      </c>
      <c r="H208" s="3">
        <f>SUMIFS(Table1[Value],Table1[Outlets],G208)</f>
        <v>10823.27</v>
      </c>
      <c r="I208" s="1" t="str">
        <f>IFERROR(VLOOKUP(G208,Table1[[Outlets]:[Region]],2,0),"")</f>
        <v>Nairobi</v>
      </c>
      <c r="K208" s="1" t="b">
        <f t="shared" si="9"/>
        <v>0</v>
      </c>
      <c r="L208" s="1" t="str">
        <f>IF(K208=TRUE,ROWS($J$3:J208),"")</f>
        <v/>
      </c>
      <c r="M208" s="1" t="str">
        <f>IFERROR(SMALL($L$3:$L$228,ROWS($L$3:L208)),"")</f>
        <v/>
      </c>
      <c r="N208" s="1" t="str">
        <f>IF(M208&lt;&gt;"",INDEX($G$3:$I$228,MATCH($M208,$L$3:$L$228,0),COLUMNS($L$3:L208)),"")</f>
        <v/>
      </c>
      <c r="O208" s="3" t="str">
        <f>IF(N208&lt;&gt;"",INDEX($G$3:$I$228,MATCH($M208,$L$3:$L$228,0),COLUMNS($L$3:M208)),"")</f>
        <v/>
      </c>
      <c r="P208" s="1" t="str">
        <f>IF(O208&lt;&gt;"",INDEX($G$3:$I$228,MATCH($M208,$L$3:$L$228,0),COLUMNS($L$3:N208)),"")</f>
        <v/>
      </c>
      <c r="S208" s="1" t="b">
        <f t="shared" si="10"/>
        <v>0</v>
      </c>
      <c r="T208" s="1" t="str">
        <f>IF(S208=TRUE,ROWS($S$3:S208),"")</f>
        <v/>
      </c>
      <c r="U208" s="1" t="str">
        <f>IFERROR(SMALL($T$3:$T$228,ROWS($T$3:T208)),"")</f>
        <v/>
      </c>
      <c r="V208" s="1" t="str">
        <f>IF(U208&lt;&gt;"",INDEX($G$3:$I$228,MATCH($U208,$T$3:$T$228,0),COLUMNS($U$3:U208)),"")</f>
        <v/>
      </c>
      <c r="W208" s="1" t="str">
        <f>IF(V208&lt;&gt;"",INDEX($G$3:$I$228,MATCH($U208,$T$3:$T$228,0),COLUMNS($U$3:V208)),"")</f>
        <v/>
      </c>
      <c r="X208" s="1" t="str">
        <f>IF(W208&lt;&gt;"",INDEX($G$3:$I$228,MATCH($U208,$T$3:$T$228,0),COLUMNS($U$3:W208)),"")</f>
        <v/>
      </c>
      <c r="Z208" s="1" t="b">
        <f t="shared" si="11"/>
        <v>1</v>
      </c>
      <c r="AA208" s="1">
        <f>IF(Z208=TRUE,ROWS($Z$3:Z208),"")</f>
        <v>206</v>
      </c>
      <c r="AB208" s="1">
        <f>IFERROR(SMALL($AA$3:$AA$228,ROWS($AA$3:AA208)),"")</f>
        <v>206</v>
      </c>
      <c r="AC208" s="1" t="str">
        <f>IF(AB208&lt;&gt;"",INDEX($G$3:$I$228,MATCH($AB208,$AA$3:$AA$228,0),COLUMNS($AA$3:AA208)),"")</f>
        <v>Naivas Katani Rd</v>
      </c>
      <c r="AD208" s="1">
        <f>IF(AC208&lt;&gt;"",INDEX($G$3:$I$228,MATCH($AB208,$AA$3:$AA$228,0),COLUMNS($AA$3:AB208)),"")</f>
        <v>10823.27</v>
      </c>
      <c r="AE208" s="1" t="str">
        <f>IF(AD208&lt;&gt;"",INDEX($G$3:$I$228,MATCH($AB208,$AA$3:$AA$228,0),COLUMNS($AA$3:AC208)),"")</f>
        <v>Nairobi</v>
      </c>
    </row>
    <row r="209" spans="1:31" x14ac:dyDescent="0.2">
      <c r="A209" s="2">
        <v>44755</v>
      </c>
      <c r="B209" s="1" t="s">
        <v>172</v>
      </c>
      <c r="C209" s="1" t="s">
        <v>3</v>
      </c>
      <c r="D209" s="1">
        <v>133019</v>
      </c>
      <c r="E209" s="3">
        <v>8477.51</v>
      </c>
      <c r="F209" s="1" t="s">
        <v>5</v>
      </c>
      <c r="G209" s="1" t="s">
        <v>164</v>
      </c>
      <c r="H209" s="3">
        <f>SUMIFS(Table1[Value],Table1[Outlets],G209)</f>
        <v>10406.89</v>
      </c>
      <c r="I209" s="1" t="str">
        <f>IFERROR(VLOOKUP(G209,Table1[[Outlets]:[Region]],2,0),"")</f>
        <v>Nairobi</v>
      </c>
      <c r="K209" s="1" t="b">
        <f t="shared" si="9"/>
        <v>0</v>
      </c>
      <c r="L209" s="1" t="str">
        <f>IF(K209=TRUE,ROWS($J$3:J209),"")</f>
        <v/>
      </c>
      <c r="M209" s="1" t="str">
        <f>IFERROR(SMALL($L$3:$L$228,ROWS($L$3:L209)),"")</f>
        <v/>
      </c>
      <c r="N209" s="1" t="str">
        <f>IF(M209&lt;&gt;"",INDEX($G$3:$I$228,MATCH($M209,$L$3:$L$228,0),COLUMNS($L$3:L209)),"")</f>
        <v/>
      </c>
      <c r="O209" s="3" t="str">
        <f>IF(N209&lt;&gt;"",INDEX($G$3:$I$228,MATCH($M209,$L$3:$L$228,0),COLUMNS($L$3:M209)),"")</f>
        <v/>
      </c>
      <c r="P209" s="1" t="str">
        <f>IF(O209&lt;&gt;"",INDEX($G$3:$I$228,MATCH($M209,$L$3:$L$228,0),COLUMNS($L$3:N209)),"")</f>
        <v/>
      </c>
      <c r="S209" s="1" t="b">
        <f t="shared" si="10"/>
        <v>0</v>
      </c>
      <c r="T209" s="1" t="str">
        <f>IF(S209=TRUE,ROWS($S$3:S209),"")</f>
        <v/>
      </c>
      <c r="U209" s="1" t="str">
        <f>IFERROR(SMALL($T$3:$T$228,ROWS($T$3:T209)),"")</f>
        <v/>
      </c>
      <c r="V209" s="1" t="str">
        <f>IF(U209&lt;&gt;"",INDEX($G$3:$I$228,MATCH($U209,$T$3:$T$228,0),COLUMNS($U$3:U209)),"")</f>
        <v/>
      </c>
      <c r="W209" s="1" t="str">
        <f>IF(V209&lt;&gt;"",INDEX($G$3:$I$228,MATCH($U209,$T$3:$T$228,0),COLUMNS($U$3:V209)),"")</f>
        <v/>
      </c>
      <c r="X209" s="1" t="str">
        <f>IF(W209&lt;&gt;"",INDEX($G$3:$I$228,MATCH($U209,$T$3:$T$228,0),COLUMNS($U$3:W209)),"")</f>
        <v/>
      </c>
      <c r="Z209" s="1" t="b">
        <f t="shared" si="11"/>
        <v>1</v>
      </c>
      <c r="AA209" s="1">
        <f>IF(Z209=TRUE,ROWS($Z$3:Z209),"")</f>
        <v>207</v>
      </c>
      <c r="AB209" s="1">
        <f>IFERROR(SMALL($AA$3:$AA$228,ROWS($AA$3:AA209)),"")</f>
        <v>207</v>
      </c>
      <c r="AC209" s="1" t="str">
        <f>IF(AB209&lt;&gt;"",INDEX($G$3:$I$228,MATCH($AB209,$AA$3:$AA$228,0),COLUMNS($AA$3:AA209)),"")</f>
        <v>Naivas Kasarani</v>
      </c>
      <c r="AD209" s="1">
        <f>IF(AC209&lt;&gt;"",INDEX($G$3:$I$228,MATCH($AB209,$AA$3:$AA$228,0),COLUMNS($AA$3:AB209)),"")</f>
        <v>10406.89</v>
      </c>
      <c r="AE209" s="1" t="str">
        <f>IF(AD209&lt;&gt;"",INDEX($G$3:$I$228,MATCH($AB209,$AA$3:$AA$228,0),COLUMNS($AA$3:AC209)),"")</f>
        <v>Nairobi</v>
      </c>
    </row>
    <row r="210" spans="1:31" x14ac:dyDescent="0.2">
      <c r="A210" s="2">
        <v>44755</v>
      </c>
      <c r="B210" s="1" t="s">
        <v>173</v>
      </c>
      <c r="C210" s="1" t="s">
        <v>249</v>
      </c>
      <c r="D210" s="1">
        <v>133020</v>
      </c>
      <c r="E210" s="3">
        <v>38078.53</v>
      </c>
      <c r="F210" s="1" t="s">
        <v>4</v>
      </c>
      <c r="G210" s="1" t="s">
        <v>144</v>
      </c>
      <c r="H210" s="3">
        <f>SUMIFS(Table1[Value],Table1[Outlets],G210)</f>
        <v>10263.41</v>
      </c>
      <c r="I210" s="1" t="str">
        <f>IFERROR(VLOOKUP(G210,Table1[[Outlets]:[Region]],2,0),"")</f>
        <v>Nairobi</v>
      </c>
      <c r="K210" s="1" t="b">
        <f t="shared" si="9"/>
        <v>0</v>
      </c>
      <c r="L210" s="1" t="str">
        <f>IF(K210=TRUE,ROWS($J$3:J210),"")</f>
        <v/>
      </c>
      <c r="M210" s="1" t="str">
        <f>IFERROR(SMALL($L$3:$L$228,ROWS($L$3:L210)),"")</f>
        <v/>
      </c>
      <c r="N210" s="1" t="str">
        <f>IF(M210&lt;&gt;"",INDEX($G$3:$I$228,MATCH($M210,$L$3:$L$228,0),COLUMNS($L$3:L210)),"")</f>
        <v/>
      </c>
      <c r="O210" s="3" t="str">
        <f>IF(N210&lt;&gt;"",INDEX($G$3:$I$228,MATCH($M210,$L$3:$L$228,0),COLUMNS($L$3:M210)),"")</f>
        <v/>
      </c>
      <c r="P210" s="1" t="str">
        <f>IF(O210&lt;&gt;"",INDEX($G$3:$I$228,MATCH($M210,$L$3:$L$228,0),COLUMNS($L$3:N210)),"")</f>
        <v/>
      </c>
      <c r="S210" s="1" t="b">
        <f t="shared" si="10"/>
        <v>0</v>
      </c>
      <c r="T210" s="1" t="str">
        <f>IF(S210=TRUE,ROWS($S$3:S210),"")</f>
        <v/>
      </c>
      <c r="U210" s="1" t="str">
        <f>IFERROR(SMALL($T$3:$T$228,ROWS($T$3:T210)),"")</f>
        <v/>
      </c>
      <c r="V210" s="1" t="str">
        <f>IF(U210&lt;&gt;"",INDEX($G$3:$I$228,MATCH($U210,$T$3:$T$228,0),COLUMNS($U$3:U210)),"")</f>
        <v/>
      </c>
      <c r="W210" s="1" t="str">
        <f>IF(V210&lt;&gt;"",INDEX($G$3:$I$228,MATCH($U210,$T$3:$T$228,0),COLUMNS($U$3:V210)),"")</f>
        <v/>
      </c>
      <c r="X210" s="1" t="str">
        <f>IF(W210&lt;&gt;"",INDEX($G$3:$I$228,MATCH($U210,$T$3:$T$228,0),COLUMNS($U$3:W210)),"")</f>
        <v/>
      </c>
      <c r="Z210" s="1" t="b">
        <f t="shared" si="11"/>
        <v>1</v>
      </c>
      <c r="AA210" s="1">
        <f>IF(Z210=TRUE,ROWS($Z$3:Z210),"")</f>
        <v>208</v>
      </c>
      <c r="AB210" s="1">
        <f>IFERROR(SMALL($AA$3:$AA$228,ROWS($AA$3:AA210)),"")</f>
        <v>208</v>
      </c>
      <c r="AC210" s="1" t="str">
        <f>IF(AB210&lt;&gt;"",INDEX($G$3:$I$228,MATCH($AB210,$AA$3:$AA$228,0),COLUMNS($AA$3:AA210)),"")</f>
        <v>Cleanshelf Wendani</v>
      </c>
      <c r="AD210" s="1">
        <f>IF(AC210&lt;&gt;"",INDEX($G$3:$I$228,MATCH($AB210,$AA$3:$AA$228,0),COLUMNS($AA$3:AB210)),"")</f>
        <v>10263.41</v>
      </c>
      <c r="AE210" s="1" t="str">
        <f>IF(AD210&lt;&gt;"",INDEX($G$3:$I$228,MATCH($AB210,$AA$3:$AA$228,0),COLUMNS($AA$3:AC210)),"")</f>
        <v>Nairobi</v>
      </c>
    </row>
    <row r="211" spans="1:31" x14ac:dyDescent="0.2">
      <c r="A211" s="2">
        <v>44755</v>
      </c>
      <c r="B211" s="1" t="s">
        <v>20</v>
      </c>
      <c r="C211" s="1" t="s">
        <v>3</v>
      </c>
      <c r="D211" s="1">
        <v>133022</v>
      </c>
      <c r="E211" s="3">
        <v>45840.6</v>
      </c>
      <c r="F211" s="1" t="s">
        <v>4</v>
      </c>
      <c r="G211" s="1" t="s">
        <v>119</v>
      </c>
      <c r="H211" s="3">
        <f>SUMIFS(Table1[Value],Table1[Outlets],G211)</f>
        <v>10241.39</v>
      </c>
      <c r="I211" s="1" t="str">
        <f>IFERROR(VLOOKUP(G211,Table1[[Outlets]:[Region]],2,0),"")</f>
        <v>Nairobi</v>
      </c>
      <c r="K211" s="1" t="b">
        <f t="shared" si="9"/>
        <v>0</v>
      </c>
      <c r="L211" s="1" t="str">
        <f>IF(K211=TRUE,ROWS($J$3:J211),"")</f>
        <v/>
      </c>
      <c r="M211" s="1" t="str">
        <f>IFERROR(SMALL($L$3:$L$228,ROWS($L$3:L211)),"")</f>
        <v/>
      </c>
      <c r="N211" s="1" t="str">
        <f>IF(M211&lt;&gt;"",INDEX($G$3:$I$228,MATCH($M211,$L$3:$L$228,0),COLUMNS($L$3:L211)),"")</f>
        <v/>
      </c>
      <c r="O211" s="3" t="str">
        <f>IF(N211&lt;&gt;"",INDEX($G$3:$I$228,MATCH($M211,$L$3:$L$228,0),COLUMNS($L$3:M211)),"")</f>
        <v/>
      </c>
      <c r="P211" s="1" t="str">
        <f>IF(O211&lt;&gt;"",INDEX($G$3:$I$228,MATCH($M211,$L$3:$L$228,0),COLUMNS($L$3:N211)),"")</f>
        <v/>
      </c>
      <c r="S211" s="1" t="b">
        <f t="shared" si="10"/>
        <v>0</v>
      </c>
      <c r="T211" s="1" t="str">
        <f>IF(S211=TRUE,ROWS($S$3:S211),"")</f>
        <v/>
      </c>
      <c r="U211" s="1" t="str">
        <f>IFERROR(SMALL($T$3:$T$228,ROWS($T$3:T211)),"")</f>
        <v/>
      </c>
      <c r="V211" s="1" t="str">
        <f>IF(U211&lt;&gt;"",INDEX($G$3:$I$228,MATCH($U211,$T$3:$T$228,0),COLUMNS($U$3:U211)),"")</f>
        <v/>
      </c>
      <c r="W211" s="1" t="str">
        <f>IF(V211&lt;&gt;"",INDEX($G$3:$I$228,MATCH($U211,$T$3:$T$228,0),COLUMNS($U$3:V211)),"")</f>
        <v/>
      </c>
      <c r="X211" s="1" t="str">
        <f>IF(W211&lt;&gt;"",INDEX($G$3:$I$228,MATCH($U211,$T$3:$T$228,0),COLUMNS($U$3:W211)),"")</f>
        <v/>
      </c>
      <c r="Z211" s="1" t="b">
        <f t="shared" si="11"/>
        <v>1</v>
      </c>
      <c r="AA211" s="1">
        <f>IF(Z211=TRUE,ROWS($Z$3:Z211),"")</f>
        <v>209</v>
      </c>
      <c r="AB211" s="1">
        <f>IFERROR(SMALL($AA$3:$AA$228,ROWS($AA$3:AA211)),"")</f>
        <v>209</v>
      </c>
      <c r="AC211" s="1" t="str">
        <f>IF(AB211&lt;&gt;"",INDEX($G$3:$I$228,MATCH($AB211,$AA$3:$AA$228,0),COLUMNS($AA$3:AA211)),"")</f>
        <v>Naivas Ruaraka</v>
      </c>
      <c r="AD211" s="1">
        <f>IF(AC211&lt;&gt;"",INDEX($G$3:$I$228,MATCH($AB211,$AA$3:$AA$228,0),COLUMNS($AA$3:AB211)),"")</f>
        <v>10241.39</v>
      </c>
      <c r="AE211" s="1" t="str">
        <f>IF(AD211&lt;&gt;"",INDEX($G$3:$I$228,MATCH($AB211,$AA$3:$AA$228,0),COLUMNS($AA$3:AC211)),"")</f>
        <v>Nairobi</v>
      </c>
    </row>
    <row r="212" spans="1:31" x14ac:dyDescent="0.2">
      <c r="A212" s="2">
        <v>44755</v>
      </c>
      <c r="B212" s="1" t="s">
        <v>174</v>
      </c>
      <c r="C212" s="1" t="s">
        <v>252</v>
      </c>
      <c r="D212" s="1">
        <v>133023</v>
      </c>
      <c r="E212" s="3">
        <v>41699.31</v>
      </c>
      <c r="F212" s="1" t="s">
        <v>11</v>
      </c>
      <c r="G212" s="1" t="s">
        <v>213</v>
      </c>
      <c r="H212" s="3">
        <f>SUMIFS(Table1[Value],Table1[Outlets],G212)</f>
        <v>10082.56</v>
      </c>
      <c r="I212" s="1" t="str">
        <f>IFERROR(VLOOKUP(G212,Table1[[Outlets]:[Region]],2,0),"")</f>
        <v>Nairobi</v>
      </c>
      <c r="K212" s="1" t="b">
        <f t="shared" si="9"/>
        <v>0</v>
      </c>
      <c r="L212" s="1" t="str">
        <f>IF(K212=TRUE,ROWS($J$3:J212),"")</f>
        <v/>
      </c>
      <c r="M212" s="1" t="str">
        <f>IFERROR(SMALL($L$3:$L$228,ROWS($L$3:L212)),"")</f>
        <v/>
      </c>
      <c r="N212" s="1" t="str">
        <f>IF(M212&lt;&gt;"",INDEX($G$3:$I$228,MATCH($M212,$L$3:$L$228,0),COLUMNS($L$3:L212)),"")</f>
        <v/>
      </c>
      <c r="O212" s="3" t="str">
        <f>IF(N212&lt;&gt;"",INDEX($G$3:$I$228,MATCH($M212,$L$3:$L$228,0),COLUMNS($L$3:M212)),"")</f>
        <v/>
      </c>
      <c r="P212" s="1" t="str">
        <f>IF(O212&lt;&gt;"",INDEX($G$3:$I$228,MATCH($M212,$L$3:$L$228,0),COLUMNS($L$3:N212)),"")</f>
        <v/>
      </c>
      <c r="S212" s="1" t="b">
        <f t="shared" si="10"/>
        <v>0</v>
      </c>
      <c r="T212" s="1" t="str">
        <f>IF(S212=TRUE,ROWS($S$3:S212),"")</f>
        <v/>
      </c>
      <c r="U212" s="1" t="str">
        <f>IFERROR(SMALL($T$3:$T$228,ROWS($T$3:T212)),"")</f>
        <v/>
      </c>
      <c r="V212" s="1" t="str">
        <f>IF(U212&lt;&gt;"",INDEX($G$3:$I$228,MATCH($U212,$T$3:$T$228,0),COLUMNS($U$3:U212)),"")</f>
        <v/>
      </c>
      <c r="W212" s="1" t="str">
        <f>IF(V212&lt;&gt;"",INDEX($G$3:$I$228,MATCH($U212,$T$3:$T$228,0),COLUMNS($U$3:V212)),"")</f>
        <v/>
      </c>
      <c r="X212" s="1" t="str">
        <f>IF(W212&lt;&gt;"",INDEX($G$3:$I$228,MATCH($U212,$T$3:$T$228,0),COLUMNS($U$3:W212)),"")</f>
        <v/>
      </c>
      <c r="Z212" s="1" t="b">
        <f t="shared" si="11"/>
        <v>1</v>
      </c>
      <c r="AA212" s="1">
        <f>IF(Z212=TRUE,ROWS($Z$3:Z212),"")</f>
        <v>210</v>
      </c>
      <c r="AB212" s="1">
        <f>IFERROR(SMALL($AA$3:$AA$228,ROWS($AA$3:AA212)),"")</f>
        <v>210</v>
      </c>
      <c r="AC212" s="1" t="str">
        <f>IF(AB212&lt;&gt;"",INDEX($G$3:$I$228,MATCH($AB212,$AA$3:$AA$228,0),COLUMNS($AA$3:AA212)),"")</f>
        <v>Cleanshelf K Mall</v>
      </c>
      <c r="AD212" s="1">
        <f>IF(AC212&lt;&gt;"",INDEX($G$3:$I$228,MATCH($AB212,$AA$3:$AA$228,0),COLUMNS($AA$3:AB212)),"")</f>
        <v>10082.56</v>
      </c>
      <c r="AE212" s="1" t="str">
        <f>IF(AD212&lt;&gt;"",INDEX($G$3:$I$228,MATCH($AB212,$AA$3:$AA$228,0),COLUMNS($AA$3:AC212)),"")</f>
        <v>Nairobi</v>
      </c>
    </row>
    <row r="213" spans="1:31" x14ac:dyDescent="0.2">
      <c r="A213" s="2">
        <v>44755</v>
      </c>
      <c r="B213" s="1" t="s">
        <v>175</v>
      </c>
      <c r="C213" s="1" t="s">
        <v>3</v>
      </c>
      <c r="D213" s="1">
        <v>133025</v>
      </c>
      <c r="E213" s="3">
        <v>5295.28</v>
      </c>
      <c r="F213" s="1" t="s">
        <v>11</v>
      </c>
      <c r="G213" s="1" t="s">
        <v>77</v>
      </c>
      <c r="H213" s="3">
        <f>SUMIFS(Table1[Value],Table1[Outlets],G213)</f>
        <v>9872.84</v>
      </c>
      <c r="I213" s="1" t="str">
        <f>IFERROR(VLOOKUP(G213,Table1[[Outlets]:[Region]],2,0),"")</f>
        <v>Nairobi</v>
      </c>
      <c r="K213" s="1" t="b">
        <f t="shared" si="9"/>
        <v>0</v>
      </c>
      <c r="L213" s="1" t="str">
        <f>IF(K213=TRUE,ROWS($J$3:J213),"")</f>
        <v/>
      </c>
      <c r="M213" s="1" t="str">
        <f>IFERROR(SMALL($L$3:$L$228,ROWS($L$3:L213)),"")</f>
        <v/>
      </c>
      <c r="N213" s="1" t="str">
        <f>IF(M213&lt;&gt;"",INDEX($G$3:$I$228,MATCH($M213,$L$3:$L$228,0),COLUMNS($L$3:L213)),"")</f>
        <v/>
      </c>
      <c r="O213" s="3" t="str">
        <f>IF(N213&lt;&gt;"",INDEX($G$3:$I$228,MATCH($M213,$L$3:$L$228,0),COLUMNS($L$3:M213)),"")</f>
        <v/>
      </c>
      <c r="P213" s="1" t="str">
        <f>IF(O213&lt;&gt;"",INDEX($G$3:$I$228,MATCH($M213,$L$3:$L$228,0),COLUMNS($L$3:N213)),"")</f>
        <v/>
      </c>
      <c r="S213" s="1" t="b">
        <f t="shared" si="10"/>
        <v>0</v>
      </c>
      <c r="T213" s="1" t="str">
        <f>IF(S213=TRUE,ROWS($S$3:S213),"")</f>
        <v/>
      </c>
      <c r="U213" s="1" t="str">
        <f>IFERROR(SMALL($T$3:$T$228,ROWS($T$3:T213)),"")</f>
        <v/>
      </c>
      <c r="V213" s="1" t="str">
        <f>IF(U213&lt;&gt;"",INDEX($G$3:$I$228,MATCH($U213,$T$3:$T$228,0),COLUMNS($U$3:U213)),"")</f>
        <v/>
      </c>
      <c r="W213" s="1" t="str">
        <f>IF(V213&lt;&gt;"",INDEX($G$3:$I$228,MATCH($U213,$T$3:$T$228,0),COLUMNS($U$3:V213)),"")</f>
        <v/>
      </c>
      <c r="X213" s="1" t="str">
        <f>IF(W213&lt;&gt;"",INDEX($G$3:$I$228,MATCH($U213,$T$3:$T$228,0),COLUMNS($U$3:W213)),"")</f>
        <v/>
      </c>
      <c r="Z213" s="1" t="b">
        <f t="shared" si="11"/>
        <v>1</v>
      </c>
      <c r="AA213" s="1">
        <f>IF(Z213=TRUE,ROWS($Z$3:Z213),"")</f>
        <v>211</v>
      </c>
      <c r="AB213" s="1">
        <f>IFERROR(SMALL($AA$3:$AA$228,ROWS($AA$3:AA213)),"")</f>
        <v>211</v>
      </c>
      <c r="AC213" s="1" t="str">
        <f>IF(AB213&lt;&gt;"",INDEX($G$3:$I$228,MATCH($AB213,$AA$3:$AA$228,0),COLUMNS($AA$3:AA213)),"")</f>
        <v>Naivas Hazina</v>
      </c>
      <c r="AD213" s="1">
        <f>IF(AC213&lt;&gt;"",INDEX($G$3:$I$228,MATCH($AB213,$AA$3:$AA$228,0),COLUMNS($AA$3:AB213)),"")</f>
        <v>9872.84</v>
      </c>
      <c r="AE213" s="1" t="str">
        <f>IF(AD213&lt;&gt;"",INDEX($G$3:$I$228,MATCH($AB213,$AA$3:$AA$228,0),COLUMNS($AA$3:AC213)),"")</f>
        <v>Nairobi</v>
      </c>
    </row>
    <row r="214" spans="1:31" x14ac:dyDescent="0.2">
      <c r="A214" s="2">
        <v>44755</v>
      </c>
      <c r="B214" s="1" t="s">
        <v>176</v>
      </c>
      <c r="C214" s="1" t="s">
        <v>3</v>
      </c>
      <c r="D214" s="1">
        <v>133026</v>
      </c>
      <c r="E214" s="3">
        <v>8409.68</v>
      </c>
      <c r="F214" s="1" t="s">
        <v>5</v>
      </c>
      <c r="G214" s="1" t="s">
        <v>146</v>
      </c>
      <c r="H214" s="3">
        <f>SUMIFS(Table1[Value],Table1[Outlets],G214)</f>
        <v>9843.119999999999</v>
      </c>
      <c r="I214" s="1" t="str">
        <f>IFERROR(VLOOKUP(G214,Table1[[Outlets]:[Region]],2,0),"")</f>
        <v>Nairobi</v>
      </c>
      <c r="K214" s="1" t="b">
        <f t="shared" si="9"/>
        <v>0</v>
      </c>
      <c r="L214" s="1" t="str">
        <f>IF(K214=TRUE,ROWS($J$3:J214),"")</f>
        <v/>
      </c>
      <c r="M214" s="1" t="str">
        <f>IFERROR(SMALL($L$3:$L$228,ROWS($L$3:L214)),"")</f>
        <v/>
      </c>
      <c r="N214" s="1" t="str">
        <f>IF(M214&lt;&gt;"",INDEX($G$3:$I$228,MATCH($M214,$L$3:$L$228,0),COLUMNS($L$3:L214)),"")</f>
        <v/>
      </c>
      <c r="O214" s="3" t="str">
        <f>IF(N214&lt;&gt;"",INDEX($G$3:$I$228,MATCH($M214,$L$3:$L$228,0),COLUMNS($L$3:M214)),"")</f>
        <v/>
      </c>
      <c r="P214" s="1" t="str">
        <f>IF(O214&lt;&gt;"",INDEX($G$3:$I$228,MATCH($M214,$L$3:$L$228,0),COLUMNS($L$3:N214)),"")</f>
        <v/>
      </c>
      <c r="S214" s="1" t="b">
        <f t="shared" si="10"/>
        <v>0</v>
      </c>
      <c r="T214" s="1" t="str">
        <f>IF(S214=TRUE,ROWS($S$3:S214),"")</f>
        <v/>
      </c>
      <c r="U214" s="1" t="str">
        <f>IFERROR(SMALL($T$3:$T$228,ROWS($T$3:T214)),"")</f>
        <v/>
      </c>
      <c r="V214" s="1" t="str">
        <f>IF(U214&lt;&gt;"",INDEX($G$3:$I$228,MATCH($U214,$T$3:$T$228,0),COLUMNS($U$3:U214)),"")</f>
        <v/>
      </c>
      <c r="W214" s="1" t="str">
        <f>IF(V214&lt;&gt;"",INDEX($G$3:$I$228,MATCH($U214,$T$3:$T$228,0),COLUMNS($U$3:V214)),"")</f>
        <v/>
      </c>
      <c r="X214" s="1" t="str">
        <f>IF(W214&lt;&gt;"",INDEX($G$3:$I$228,MATCH($U214,$T$3:$T$228,0),COLUMNS($U$3:W214)),"")</f>
        <v/>
      </c>
      <c r="Z214" s="1" t="b">
        <f t="shared" si="11"/>
        <v>1</v>
      </c>
      <c r="AA214" s="1">
        <f>IF(Z214=TRUE,ROWS($Z$3:Z214),"")</f>
        <v>212</v>
      </c>
      <c r="AB214" s="1">
        <f>IFERROR(SMALL($AA$3:$AA$228,ROWS($AA$3:AA214)),"")</f>
        <v>212</v>
      </c>
      <c r="AC214" s="1" t="str">
        <f>IF(AB214&lt;&gt;"",INDEX($G$3:$I$228,MATCH($AB214,$AA$3:$AA$228,0),COLUMNS($AA$3:AA214)),"")</f>
        <v>Naivas Githurai</v>
      </c>
      <c r="AD214" s="1">
        <f>IF(AC214&lt;&gt;"",INDEX($G$3:$I$228,MATCH($AB214,$AA$3:$AA$228,0),COLUMNS($AA$3:AB214)),"")</f>
        <v>9843.119999999999</v>
      </c>
      <c r="AE214" s="1" t="str">
        <f>IF(AD214&lt;&gt;"",INDEX($G$3:$I$228,MATCH($AB214,$AA$3:$AA$228,0),COLUMNS($AA$3:AC214)),"")</f>
        <v>Nairobi</v>
      </c>
    </row>
    <row r="215" spans="1:31" x14ac:dyDescent="0.2">
      <c r="A215" s="2">
        <v>44755</v>
      </c>
      <c r="B215" s="1" t="s">
        <v>138</v>
      </c>
      <c r="C215" s="1" t="s">
        <v>249</v>
      </c>
      <c r="D215" s="1">
        <v>133027</v>
      </c>
      <c r="E215" s="3">
        <v>35967.86</v>
      </c>
      <c r="F215" s="1" t="s">
        <v>11</v>
      </c>
      <c r="G215" s="1" t="s">
        <v>27</v>
      </c>
      <c r="H215" s="3">
        <f>SUMIFS(Table1[Value],Table1[Outlets],G215)</f>
        <v>9674.39</v>
      </c>
      <c r="I215" s="1" t="str">
        <f>IFERROR(VLOOKUP(G215,Table1[[Outlets]:[Region]],2,0),"")</f>
        <v>Nairobi</v>
      </c>
      <c r="K215" s="1" t="b">
        <f t="shared" si="9"/>
        <v>1</v>
      </c>
      <c r="L215" s="1">
        <f>IF(K215=TRUE,ROWS($J$3:J215),"")</f>
        <v>213</v>
      </c>
      <c r="M215" s="1" t="str">
        <f>IFERROR(SMALL($L$3:$L$228,ROWS($L$3:L215)),"")</f>
        <v/>
      </c>
      <c r="N215" s="1" t="str">
        <f>IF(M215&lt;&gt;"",INDEX($G$3:$I$228,MATCH($M215,$L$3:$L$228,0),COLUMNS($L$3:L215)),"")</f>
        <v/>
      </c>
      <c r="O215" s="3" t="str">
        <f>IF(N215&lt;&gt;"",INDEX($G$3:$I$228,MATCH($M215,$L$3:$L$228,0),COLUMNS($L$3:M215)),"")</f>
        <v/>
      </c>
      <c r="P215" s="1" t="str">
        <f>IF(O215&lt;&gt;"",INDEX($G$3:$I$228,MATCH($M215,$L$3:$L$228,0),COLUMNS($L$3:N215)),"")</f>
        <v/>
      </c>
      <c r="S215" s="1" t="b">
        <f t="shared" si="10"/>
        <v>0</v>
      </c>
      <c r="T215" s="1" t="str">
        <f>IF(S215=TRUE,ROWS($S$3:S215),"")</f>
        <v/>
      </c>
      <c r="U215" s="1" t="str">
        <f>IFERROR(SMALL($T$3:$T$228,ROWS($T$3:T215)),"")</f>
        <v/>
      </c>
      <c r="V215" s="1" t="str">
        <f>IF(U215&lt;&gt;"",INDEX($G$3:$I$228,MATCH($U215,$T$3:$T$228,0),COLUMNS($U$3:U215)),"")</f>
        <v/>
      </c>
      <c r="W215" s="1" t="str">
        <f>IF(V215&lt;&gt;"",INDEX($G$3:$I$228,MATCH($U215,$T$3:$T$228,0),COLUMNS($U$3:V215)),"")</f>
        <v/>
      </c>
      <c r="X215" s="1" t="str">
        <f>IF(W215&lt;&gt;"",INDEX($G$3:$I$228,MATCH($U215,$T$3:$T$228,0),COLUMNS($U$3:W215)),"")</f>
        <v/>
      </c>
      <c r="Z215" s="1" t="b">
        <f t="shared" si="11"/>
        <v>1</v>
      </c>
      <c r="AA215" s="1">
        <f>IF(Z215=TRUE,ROWS($Z$3:Z215),"")</f>
        <v>213</v>
      </c>
      <c r="AB215" s="1">
        <f>IFERROR(SMALL($AA$3:$AA$228,ROWS($AA$3:AA215)),"")</f>
        <v>213</v>
      </c>
      <c r="AC215" s="1" t="str">
        <f>IF(AB215&lt;&gt;"",INDEX($G$3:$I$228,MATCH($AB215,$AA$3:$AA$228,0),COLUMNS($AA$3:AA215)),"")</f>
        <v>Chandarana Karen</v>
      </c>
      <c r="AD215" s="1">
        <f>IF(AC215&lt;&gt;"",INDEX($G$3:$I$228,MATCH($AB215,$AA$3:$AA$228,0),COLUMNS($AA$3:AB215)),"")</f>
        <v>9674.39</v>
      </c>
      <c r="AE215" s="1" t="str">
        <f>IF(AD215&lt;&gt;"",INDEX($G$3:$I$228,MATCH($AB215,$AA$3:$AA$228,0),COLUMNS($AA$3:AC215)),"")</f>
        <v>Nairobi</v>
      </c>
    </row>
    <row r="216" spans="1:31" x14ac:dyDescent="0.2">
      <c r="A216" s="2">
        <v>44755</v>
      </c>
      <c r="B216" s="1" t="s">
        <v>177</v>
      </c>
      <c r="C216" s="1" t="s">
        <v>249</v>
      </c>
      <c r="D216" s="1">
        <v>133028</v>
      </c>
      <c r="E216" s="3">
        <v>29682.68</v>
      </c>
      <c r="F216" s="1" t="s">
        <v>9</v>
      </c>
      <c r="G216" s="1" t="s">
        <v>243</v>
      </c>
      <c r="H216" s="3">
        <f>SUMIFS(Table1[Value],Table1[Outlets],G216)</f>
        <v>8941.83</v>
      </c>
      <c r="I216" s="1" t="str">
        <f>IFERROR(VLOOKUP(G216,Table1[[Outlets]:[Region]],2,0),"")</f>
        <v>Nairobi</v>
      </c>
      <c r="K216" s="1" t="b">
        <f t="shared" si="9"/>
        <v>0</v>
      </c>
      <c r="L216" s="1" t="str">
        <f>IF(K216=TRUE,ROWS($J$3:J216),"")</f>
        <v/>
      </c>
      <c r="M216" s="1" t="str">
        <f>IFERROR(SMALL($L$3:$L$228,ROWS($L$3:L216)),"")</f>
        <v/>
      </c>
      <c r="N216" s="1" t="str">
        <f>IF(M216&lt;&gt;"",INDEX($G$3:$I$228,MATCH($M216,$L$3:$L$228,0),COLUMNS($L$3:L216)),"")</f>
        <v/>
      </c>
      <c r="O216" s="3" t="str">
        <f>IF(N216&lt;&gt;"",INDEX($G$3:$I$228,MATCH($M216,$L$3:$L$228,0),COLUMNS($L$3:M216)),"")</f>
        <v/>
      </c>
      <c r="P216" s="1" t="str">
        <f>IF(O216&lt;&gt;"",INDEX($G$3:$I$228,MATCH($M216,$L$3:$L$228,0),COLUMNS($L$3:N216)),"")</f>
        <v/>
      </c>
      <c r="S216" s="1" t="b">
        <f t="shared" si="10"/>
        <v>0</v>
      </c>
      <c r="T216" s="1" t="str">
        <f>IF(S216=TRUE,ROWS($S$3:S216),"")</f>
        <v/>
      </c>
      <c r="U216" s="1" t="str">
        <f>IFERROR(SMALL($T$3:$T$228,ROWS($T$3:T216)),"")</f>
        <v/>
      </c>
      <c r="V216" s="1" t="str">
        <f>IF(U216&lt;&gt;"",INDEX($G$3:$I$228,MATCH($U216,$T$3:$T$228,0),COLUMNS($U$3:U216)),"")</f>
        <v/>
      </c>
      <c r="W216" s="1" t="str">
        <f>IF(V216&lt;&gt;"",INDEX($G$3:$I$228,MATCH($U216,$T$3:$T$228,0),COLUMNS($U$3:V216)),"")</f>
        <v/>
      </c>
      <c r="X216" s="1" t="str">
        <f>IF(W216&lt;&gt;"",INDEX($G$3:$I$228,MATCH($U216,$T$3:$T$228,0),COLUMNS($U$3:W216)),"")</f>
        <v/>
      </c>
      <c r="Z216" s="1" t="b">
        <f t="shared" si="11"/>
        <v>1</v>
      </c>
      <c r="AA216" s="1">
        <f>IF(Z216=TRUE,ROWS($Z$3:Z216),"")</f>
        <v>214</v>
      </c>
      <c r="AB216" s="1">
        <f>IFERROR(SMALL($AA$3:$AA$228,ROWS($AA$3:AA216)),"")</f>
        <v>214</v>
      </c>
      <c r="AC216" s="1" t="str">
        <f>IF(AB216&lt;&gt;"",INDEX($G$3:$I$228,MATCH($AB216,$AA$3:$AA$228,0),COLUMNS($AA$3:AA216)),"")</f>
        <v>Naivas Embakassi Nyayo</v>
      </c>
      <c r="AD216" s="1">
        <f>IF(AC216&lt;&gt;"",INDEX($G$3:$I$228,MATCH($AB216,$AA$3:$AA$228,0),COLUMNS($AA$3:AB216)),"")</f>
        <v>8941.83</v>
      </c>
      <c r="AE216" s="1" t="str">
        <f>IF(AD216&lt;&gt;"",INDEX($G$3:$I$228,MATCH($AB216,$AA$3:$AA$228,0),COLUMNS($AA$3:AC216)),"")</f>
        <v>Nairobi</v>
      </c>
    </row>
    <row r="217" spans="1:31" x14ac:dyDescent="0.2">
      <c r="A217" s="2">
        <v>44755</v>
      </c>
      <c r="B217" s="1" t="s">
        <v>178</v>
      </c>
      <c r="C217" s="1" t="s">
        <v>252</v>
      </c>
      <c r="D217" s="1">
        <v>133032</v>
      </c>
      <c r="E217" s="3">
        <v>60648.87</v>
      </c>
      <c r="F217" s="1" t="s">
        <v>9</v>
      </c>
      <c r="G217" s="1" t="s">
        <v>206</v>
      </c>
      <c r="H217" s="3">
        <f>SUMIFS(Table1[Value],Table1[Outlets],G217)</f>
        <v>8888.9599999999991</v>
      </c>
      <c r="I217" s="1" t="str">
        <f>IFERROR(VLOOKUP(G217,Table1[[Outlets]:[Region]],2,0),"")</f>
        <v>Nairobi</v>
      </c>
      <c r="K217" s="1" t="b">
        <f t="shared" si="9"/>
        <v>0</v>
      </c>
      <c r="L217" s="1" t="str">
        <f>IF(K217=TRUE,ROWS($J$3:J217),"")</f>
        <v/>
      </c>
      <c r="M217" s="1" t="str">
        <f>IFERROR(SMALL($L$3:$L$228,ROWS($L$3:L217)),"")</f>
        <v/>
      </c>
      <c r="N217" s="1" t="str">
        <f>IF(M217&lt;&gt;"",INDEX($G$3:$I$228,MATCH($M217,$L$3:$L$228,0),COLUMNS($L$3:L217)),"")</f>
        <v/>
      </c>
      <c r="O217" s="3" t="str">
        <f>IF(N217&lt;&gt;"",INDEX($G$3:$I$228,MATCH($M217,$L$3:$L$228,0),COLUMNS($L$3:M217)),"")</f>
        <v/>
      </c>
      <c r="P217" s="1" t="str">
        <f>IF(O217&lt;&gt;"",INDEX($G$3:$I$228,MATCH($M217,$L$3:$L$228,0),COLUMNS($L$3:N217)),"")</f>
        <v/>
      </c>
      <c r="S217" s="1" t="b">
        <f t="shared" si="10"/>
        <v>0</v>
      </c>
      <c r="T217" s="1" t="str">
        <f>IF(S217=TRUE,ROWS($S$3:S217),"")</f>
        <v/>
      </c>
      <c r="U217" s="1" t="str">
        <f>IFERROR(SMALL($T$3:$T$228,ROWS($T$3:T217)),"")</f>
        <v/>
      </c>
      <c r="V217" s="1" t="str">
        <f>IF(U217&lt;&gt;"",INDEX($G$3:$I$228,MATCH($U217,$T$3:$T$228,0),COLUMNS($U$3:U217)),"")</f>
        <v/>
      </c>
      <c r="W217" s="1" t="str">
        <f>IF(V217&lt;&gt;"",INDEX($G$3:$I$228,MATCH($U217,$T$3:$T$228,0),COLUMNS($U$3:V217)),"")</f>
        <v/>
      </c>
      <c r="X217" s="1" t="str">
        <f>IF(W217&lt;&gt;"",INDEX($G$3:$I$228,MATCH($U217,$T$3:$T$228,0),COLUMNS($U$3:W217)),"")</f>
        <v/>
      </c>
      <c r="Z217" s="1" t="b">
        <f t="shared" si="11"/>
        <v>1</v>
      </c>
      <c r="AA217" s="1">
        <f>IF(Z217=TRUE,ROWS($Z$3:Z217),"")</f>
        <v>215</v>
      </c>
      <c r="AB217" s="1">
        <f>IFERROR(SMALL($AA$3:$AA$228,ROWS($AA$3:AA217)),"")</f>
        <v>215</v>
      </c>
      <c r="AC217" s="1" t="str">
        <f>IF(AB217&lt;&gt;"",INDEX($G$3:$I$228,MATCH($AB217,$AA$3:$AA$228,0),COLUMNS($AA$3:AA217)),"")</f>
        <v>Onn The Way Gigiri</v>
      </c>
      <c r="AD217" s="1">
        <f>IF(AC217&lt;&gt;"",INDEX($G$3:$I$228,MATCH($AB217,$AA$3:$AA$228,0),COLUMNS($AA$3:AB217)),"")</f>
        <v>8888.9599999999991</v>
      </c>
      <c r="AE217" s="1" t="str">
        <f>IF(AD217&lt;&gt;"",INDEX($G$3:$I$228,MATCH($AB217,$AA$3:$AA$228,0),COLUMNS($AA$3:AC217)),"")</f>
        <v>Nairobi</v>
      </c>
    </row>
    <row r="218" spans="1:31" x14ac:dyDescent="0.2">
      <c r="A218" s="2">
        <v>44755</v>
      </c>
      <c r="B218" s="1" t="s">
        <v>92</v>
      </c>
      <c r="C218" s="1" t="s">
        <v>3</v>
      </c>
      <c r="D218" s="1">
        <v>133033</v>
      </c>
      <c r="E218" s="3">
        <v>29661.82</v>
      </c>
      <c r="F218" s="1" t="s">
        <v>9</v>
      </c>
      <c r="G218" s="1" t="s">
        <v>195</v>
      </c>
      <c r="H218" s="3">
        <f>SUMIFS(Table1[Value],Table1[Outlets],G218)</f>
        <v>8527.24</v>
      </c>
      <c r="I218" s="1" t="str">
        <f>IFERROR(VLOOKUP(G218,Table1[[Outlets]:[Region]],2,0),"")</f>
        <v>Nairobi</v>
      </c>
      <c r="K218" s="1" t="b">
        <f t="shared" si="9"/>
        <v>0</v>
      </c>
      <c r="L218" s="1" t="str">
        <f>IF(K218=TRUE,ROWS($J$3:J218),"")</f>
        <v/>
      </c>
      <c r="M218" s="1" t="str">
        <f>IFERROR(SMALL($L$3:$L$228,ROWS($L$3:L218)),"")</f>
        <v/>
      </c>
      <c r="N218" s="1" t="str">
        <f>IF(M218&lt;&gt;"",INDEX($G$3:$I$228,MATCH($M218,$L$3:$L$228,0),COLUMNS($L$3:L218)),"")</f>
        <v/>
      </c>
      <c r="O218" s="3" t="str">
        <f>IF(N218&lt;&gt;"",INDEX($G$3:$I$228,MATCH($M218,$L$3:$L$228,0),COLUMNS($L$3:M218)),"")</f>
        <v/>
      </c>
      <c r="P218" s="1" t="str">
        <f>IF(O218&lt;&gt;"",INDEX($G$3:$I$228,MATCH($M218,$L$3:$L$228,0),COLUMNS($L$3:N218)),"")</f>
        <v/>
      </c>
      <c r="S218" s="1" t="b">
        <f t="shared" si="10"/>
        <v>0</v>
      </c>
      <c r="T218" s="1" t="str">
        <f>IF(S218=TRUE,ROWS($S$3:S218),"")</f>
        <v/>
      </c>
      <c r="U218" s="1" t="str">
        <f>IFERROR(SMALL($T$3:$T$228,ROWS($T$3:T218)),"")</f>
        <v/>
      </c>
      <c r="V218" s="1" t="str">
        <f>IF(U218&lt;&gt;"",INDEX($G$3:$I$228,MATCH($U218,$T$3:$T$228,0),COLUMNS($U$3:U218)),"")</f>
        <v/>
      </c>
      <c r="W218" s="1" t="str">
        <f>IF(V218&lt;&gt;"",INDEX($G$3:$I$228,MATCH($U218,$T$3:$T$228,0),COLUMNS($U$3:V218)),"")</f>
        <v/>
      </c>
      <c r="X218" s="1" t="str">
        <f>IF(W218&lt;&gt;"",INDEX($G$3:$I$228,MATCH($U218,$T$3:$T$228,0),COLUMNS($U$3:W218)),"")</f>
        <v/>
      </c>
      <c r="Z218" s="1" t="b">
        <f t="shared" si="11"/>
        <v>1</v>
      </c>
      <c r="AA218" s="1">
        <f>IF(Z218=TRUE,ROWS($Z$3:Z218),"")</f>
        <v>216</v>
      </c>
      <c r="AB218" s="1">
        <f>IFERROR(SMALL($AA$3:$AA$228,ROWS($AA$3:AA218)),"")</f>
        <v>216</v>
      </c>
      <c r="AC218" s="1" t="str">
        <f>IF(AB218&lt;&gt;"",INDEX($G$3:$I$228,MATCH($AB218,$AA$3:$AA$228,0),COLUMNS($AA$3:AA218)),"")</f>
        <v>Powerstar Kikuyu</v>
      </c>
      <c r="AD218" s="1">
        <f>IF(AC218&lt;&gt;"",INDEX($G$3:$I$228,MATCH($AB218,$AA$3:$AA$228,0),COLUMNS($AA$3:AB218)),"")</f>
        <v>8527.24</v>
      </c>
      <c r="AE218" s="1" t="str">
        <f>IF(AD218&lt;&gt;"",INDEX($G$3:$I$228,MATCH($AB218,$AA$3:$AA$228,0),COLUMNS($AA$3:AC218)),"")</f>
        <v>Nairobi</v>
      </c>
    </row>
    <row r="219" spans="1:31" x14ac:dyDescent="0.2">
      <c r="A219" s="2">
        <v>44755</v>
      </c>
      <c r="B219" s="1" t="s">
        <v>179</v>
      </c>
      <c r="C219" s="1" t="s">
        <v>253</v>
      </c>
      <c r="D219" s="1">
        <v>133034</v>
      </c>
      <c r="E219" s="3">
        <v>14222.32</v>
      </c>
      <c r="F219" s="1" t="s">
        <v>9</v>
      </c>
      <c r="G219" s="1" t="s">
        <v>172</v>
      </c>
      <c r="H219" s="3">
        <f>SUMIFS(Table1[Value],Table1[Outlets],G219)</f>
        <v>8477.51</v>
      </c>
      <c r="I219" s="1" t="str">
        <f>IFERROR(VLOOKUP(G219,Table1[[Outlets]:[Region]],2,0),"")</f>
        <v>Nairobi</v>
      </c>
      <c r="K219" s="1" t="b">
        <f t="shared" si="9"/>
        <v>0</v>
      </c>
      <c r="L219" s="1" t="str">
        <f>IF(K219=TRUE,ROWS($J$3:J219),"")</f>
        <v/>
      </c>
      <c r="M219" s="1" t="str">
        <f>IFERROR(SMALL($L$3:$L$228,ROWS($L$3:L219)),"")</f>
        <v/>
      </c>
      <c r="N219" s="1" t="str">
        <f>IF(M219&lt;&gt;"",INDEX($G$3:$I$228,MATCH($M219,$L$3:$L$228,0),COLUMNS($L$3:L219)),"")</f>
        <v/>
      </c>
      <c r="O219" s="3" t="str">
        <f>IF(N219&lt;&gt;"",INDEX($G$3:$I$228,MATCH($M219,$L$3:$L$228,0),COLUMNS($L$3:M219)),"")</f>
        <v/>
      </c>
      <c r="P219" s="1" t="str">
        <f>IF(O219&lt;&gt;"",INDEX($G$3:$I$228,MATCH($M219,$L$3:$L$228,0),COLUMNS($L$3:N219)),"")</f>
        <v/>
      </c>
      <c r="S219" s="1" t="b">
        <f t="shared" si="10"/>
        <v>0</v>
      </c>
      <c r="T219" s="1" t="str">
        <f>IF(S219=TRUE,ROWS($S$3:S219),"")</f>
        <v/>
      </c>
      <c r="U219" s="1" t="str">
        <f>IFERROR(SMALL($T$3:$T$228,ROWS($T$3:T219)),"")</f>
        <v/>
      </c>
      <c r="V219" s="1" t="str">
        <f>IF(U219&lt;&gt;"",INDEX($G$3:$I$228,MATCH($U219,$T$3:$T$228,0),COLUMNS($U$3:U219)),"")</f>
        <v/>
      </c>
      <c r="W219" s="1" t="str">
        <f>IF(V219&lt;&gt;"",INDEX($G$3:$I$228,MATCH($U219,$T$3:$T$228,0),COLUMNS($U$3:V219)),"")</f>
        <v/>
      </c>
      <c r="X219" s="1" t="str">
        <f>IF(W219&lt;&gt;"",INDEX($G$3:$I$228,MATCH($U219,$T$3:$T$228,0),COLUMNS($U$3:W219)),"")</f>
        <v/>
      </c>
      <c r="Z219" s="1" t="b">
        <f t="shared" si="11"/>
        <v>1</v>
      </c>
      <c r="AA219" s="1">
        <f>IF(Z219=TRUE,ROWS($Z$3:Z219),"")</f>
        <v>217</v>
      </c>
      <c r="AB219" s="1">
        <f>IFERROR(SMALL($AA$3:$AA$228,ROWS($AA$3:AA219)),"")</f>
        <v>217</v>
      </c>
      <c r="AC219" s="1" t="str">
        <f>IF(AB219&lt;&gt;"",INDEX($G$3:$I$228,MATCH($AB219,$AA$3:$AA$228,0),COLUMNS($AA$3:AA219)),"")</f>
        <v>Cleanshelf Freshmarket</v>
      </c>
      <c r="AD219" s="1">
        <f>IF(AC219&lt;&gt;"",INDEX($G$3:$I$228,MATCH($AB219,$AA$3:$AA$228,0),COLUMNS($AA$3:AB219)),"")</f>
        <v>8477.51</v>
      </c>
      <c r="AE219" s="1" t="str">
        <f>IF(AD219&lt;&gt;"",INDEX($G$3:$I$228,MATCH($AB219,$AA$3:$AA$228,0),COLUMNS($AA$3:AC219)),"")</f>
        <v>Nairobi</v>
      </c>
    </row>
    <row r="220" spans="1:31" x14ac:dyDescent="0.2">
      <c r="A220" s="2">
        <v>44755</v>
      </c>
      <c r="B220" s="1" t="s">
        <v>58</v>
      </c>
      <c r="C220" s="1" t="s">
        <v>249</v>
      </c>
      <c r="D220" s="1">
        <v>133035</v>
      </c>
      <c r="E220" s="3">
        <v>36287.519999999997</v>
      </c>
      <c r="F220" s="1" t="s">
        <v>9</v>
      </c>
      <c r="G220" s="1" t="s">
        <v>176</v>
      </c>
      <c r="H220" s="3">
        <f>SUMIFS(Table1[Value],Table1[Outlets],G220)</f>
        <v>8409.68</v>
      </c>
      <c r="I220" s="1" t="str">
        <f>IFERROR(VLOOKUP(G220,Table1[[Outlets]:[Region]],2,0),"")</f>
        <v>Nairobi</v>
      </c>
      <c r="K220" s="1" t="b">
        <f t="shared" si="9"/>
        <v>0</v>
      </c>
      <c r="L220" s="1" t="str">
        <f>IF(K220=TRUE,ROWS($J$3:J220),"")</f>
        <v/>
      </c>
      <c r="M220" s="1" t="str">
        <f>IFERROR(SMALL($L$3:$L$228,ROWS($L$3:L220)),"")</f>
        <v/>
      </c>
      <c r="N220" s="1" t="str">
        <f>IF(M220&lt;&gt;"",INDEX($G$3:$I$228,MATCH($M220,$L$3:$L$228,0),COLUMNS($L$3:L220)),"")</f>
        <v/>
      </c>
      <c r="O220" s="3" t="str">
        <f>IF(N220&lt;&gt;"",INDEX($G$3:$I$228,MATCH($M220,$L$3:$L$228,0),COLUMNS($L$3:M220)),"")</f>
        <v/>
      </c>
      <c r="P220" s="1" t="str">
        <f>IF(O220&lt;&gt;"",INDEX($G$3:$I$228,MATCH($M220,$L$3:$L$228,0),COLUMNS($L$3:N220)),"")</f>
        <v/>
      </c>
      <c r="S220" s="1" t="b">
        <f t="shared" si="10"/>
        <v>0</v>
      </c>
      <c r="T220" s="1" t="str">
        <f>IF(S220=TRUE,ROWS($S$3:S220),"")</f>
        <v/>
      </c>
      <c r="U220" s="1" t="str">
        <f>IFERROR(SMALL($T$3:$T$228,ROWS($T$3:T220)),"")</f>
        <v/>
      </c>
      <c r="V220" s="1" t="str">
        <f>IF(U220&lt;&gt;"",INDEX($G$3:$I$228,MATCH($U220,$T$3:$T$228,0),COLUMNS($U$3:U220)),"")</f>
        <v/>
      </c>
      <c r="W220" s="1" t="str">
        <f>IF(V220&lt;&gt;"",INDEX($G$3:$I$228,MATCH($U220,$T$3:$T$228,0),COLUMNS($U$3:V220)),"")</f>
        <v/>
      </c>
      <c r="X220" s="1" t="str">
        <f>IF(W220&lt;&gt;"",INDEX($G$3:$I$228,MATCH($U220,$T$3:$T$228,0),COLUMNS($U$3:W220)),"")</f>
        <v/>
      </c>
      <c r="Z220" s="1" t="b">
        <f t="shared" si="11"/>
        <v>1</v>
      </c>
      <c r="AA220" s="1">
        <f>IF(Z220=TRUE,ROWS($Z$3:Z220),"")</f>
        <v>218</v>
      </c>
      <c r="AB220" s="1">
        <f>IFERROR(SMALL($AA$3:$AA$228,ROWS($AA$3:AA220)),"")</f>
        <v>218</v>
      </c>
      <c r="AC220" s="1" t="str">
        <f>IF(AB220&lt;&gt;"",INDEX($G$3:$I$228,MATCH($AB220,$AA$3:$AA$228,0),COLUMNS($AA$3:AA220)),"")</f>
        <v>Cleanshelf Limuru</v>
      </c>
      <c r="AD220" s="1">
        <f>IF(AC220&lt;&gt;"",INDEX($G$3:$I$228,MATCH($AB220,$AA$3:$AA$228,0),COLUMNS($AA$3:AB220)),"")</f>
        <v>8409.68</v>
      </c>
      <c r="AE220" s="1" t="str">
        <f>IF(AD220&lt;&gt;"",INDEX($G$3:$I$228,MATCH($AB220,$AA$3:$AA$228,0),COLUMNS($AA$3:AC220)),"")</f>
        <v>Nairobi</v>
      </c>
    </row>
    <row r="221" spans="1:31" x14ac:dyDescent="0.2">
      <c r="A221" s="2">
        <v>44755</v>
      </c>
      <c r="B221" s="1" t="s">
        <v>180</v>
      </c>
      <c r="C221" s="1" t="s">
        <v>251</v>
      </c>
      <c r="D221" s="1">
        <v>133036</v>
      </c>
      <c r="E221" s="3">
        <v>83943</v>
      </c>
      <c r="F221" s="1" t="s">
        <v>11</v>
      </c>
      <c r="G221" s="1" t="s">
        <v>205</v>
      </c>
      <c r="H221" s="3">
        <f>SUMIFS(Table1[Value],Table1[Outlets],G221)</f>
        <v>8409.68</v>
      </c>
      <c r="I221" s="1" t="str">
        <f>IFERROR(VLOOKUP(G221,Table1[[Outlets]:[Region]],2,0),"")</f>
        <v>Nairobi</v>
      </c>
      <c r="K221" s="1" t="b">
        <f t="shared" si="9"/>
        <v>0</v>
      </c>
      <c r="L221" s="1" t="str">
        <f>IF(K221=TRUE,ROWS($J$3:J221),"")</f>
        <v/>
      </c>
      <c r="M221" s="1" t="str">
        <f>IFERROR(SMALL($L$3:$L$228,ROWS($L$3:L221)),"")</f>
        <v/>
      </c>
      <c r="N221" s="1" t="str">
        <f>IF(M221&lt;&gt;"",INDEX($G$3:$I$228,MATCH($M221,$L$3:$L$228,0),COLUMNS($L$3:L221)),"")</f>
        <v/>
      </c>
      <c r="O221" s="3" t="str">
        <f>IF(N221&lt;&gt;"",INDEX($G$3:$I$228,MATCH($M221,$L$3:$L$228,0),COLUMNS($L$3:M221)),"")</f>
        <v/>
      </c>
      <c r="P221" s="1" t="str">
        <f>IF(O221&lt;&gt;"",INDEX($G$3:$I$228,MATCH($M221,$L$3:$L$228,0),COLUMNS($L$3:N221)),"")</f>
        <v/>
      </c>
      <c r="S221" s="1" t="b">
        <f t="shared" si="10"/>
        <v>0</v>
      </c>
      <c r="T221" s="1" t="str">
        <f>IF(S221=TRUE,ROWS($S$3:S221),"")</f>
        <v/>
      </c>
      <c r="U221" s="1" t="str">
        <f>IFERROR(SMALL($T$3:$T$228,ROWS($T$3:T221)),"")</f>
        <v/>
      </c>
      <c r="V221" s="1" t="str">
        <f>IF(U221&lt;&gt;"",INDEX($G$3:$I$228,MATCH($U221,$T$3:$T$228,0),COLUMNS($U$3:U221)),"")</f>
        <v/>
      </c>
      <c r="W221" s="1" t="str">
        <f>IF(V221&lt;&gt;"",INDEX($G$3:$I$228,MATCH($U221,$T$3:$T$228,0),COLUMNS($U$3:V221)),"")</f>
        <v/>
      </c>
      <c r="X221" s="1" t="str">
        <f>IF(W221&lt;&gt;"",INDEX($G$3:$I$228,MATCH($U221,$T$3:$T$228,0),COLUMNS($U$3:W221)),"")</f>
        <v/>
      </c>
      <c r="Z221" s="1" t="b">
        <f t="shared" si="11"/>
        <v>1</v>
      </c>
      <c r="AA221" s="1">
        <f>IF(Z221=TRUE,ROWS($Z$3:Z221),"")</f>
        <v>219</v>
      </c>
      <c r="AB221" s="1">
        <f>IFERROR(SMALL($AA$3:$AA$228,ROWS($AA$3:AA221)),"")</f>
        <v>219</v>
      </c>
      <c r="AC221" s="1" t="str">
        <f>IF(AB221&lt;&gt;"",INDEX($G$3:$I$228,MATCH($AB221,$AA$3:$AA$228,0),COLUMNS($AA$3:AA221)),"")</f>
        <v>Cleanshelf Rongai</v>
      </c>
      <c r="AD221" s="1">
        <f>IF(AC221&lt;&gt;"",INDEX($G$3:$I$228,MATCH($AB221,$AA$3:$AA$228,0),COLUMNS($AA$3:AB221)),"")</f>
        <v>8409.68</v>
      </c>
      <c r="AE221" s="1" t="str">
        <f>IF(AD221&lt;&gt;"",INDEX($G$3:$I$228,MATCH($AB221,$AA$3:$AA$228,0),COLUMNS($AA$3:AC221)),"")</f>
        <v>Nairobi</v>
      </c>
    </row>
    <row r="222" spans="1:31" x14ac:dyDescent="0.2">
      <c r="A222" s="2">
        <v>44755</v>
      </c>
      <c r="B222" s="1" t="s">
        <v>181</v>
      </c>
      <c r="C222" s="1" t="s">
        <v>251</v>
      </c>
      <c r="D222" s="1">
        <v>133037</v>
      </c>
      <c r="E222" s="3">
        <v>131810.42000000001</v>
      </c>
      <c r="F222" s="1" t="s">
        <v>11</v>
      </c>
      <c r="G222" s="1" t="s">
        <v>219</v>
      </c>
      <c r="H222" s="3">
        <f>SUMIFS(Table1[Value],Table1[Outlets],G222)</f>
        <v>6284.66</v>
      </c>
      <c r="I222" s="1" t="str">
        <f>IFERROR(VLOOKUP(G222,Table1[[Outlets]:[Region]],2,0),"")</f>
        <v>Nairobi</v>
      </c>
      <c r="K222" s="1" t="b">
        <f t="shared" si="9"/>
        <v>0</v>
      </c>
      <c r="L222" s="1" t="str">
        <f>IF(K222=TRUE,ROWS($J$3:J222),"")</f>
        <v/>
      </c>
      <c r="M222" s="1" t="str">
        <f>IFERROR(SMALL($L$3:$L$228,ROWS($L$3:L222)),"")</f>
        <v/>
      </c>
      <c r="N222" s="1" t="str">
        <f>IF(M222&lt;&gt;"",INDEX($G$3:$I$228,MATCH($M222,$L$3:$L$228,0),COLUMNS($L$3:L222)),"")</f>
        <v/>
      </c>
      <c r="O222" s="3" t="str">
        <f>IF(N222&lt;&gt;"",INDEX($G$3:$I$228,MATCH($M222,$L$3:$L$228,0),COLUMNS($L$3:M222)),"")</f>
        <v/>
      </c>
      <c r="P222" s="1" t="str">
        <f>IF(O222&lt;&gt;"",INDEX($G$3:$I$228,MATCH($M222,$L$3:$L$228,0),COLUMNS($L$3:N222)),"")</f>
        <v/>
      </c>
      <c r="S222" s="1" t="b">
        <f t="shared" si="10"/>
        <v>0</v>
      </c>
      <c r="T222" s="1" t="str">
        <f>IF(S222=TRUE,ROWS($S$3:S222),"")</f>
        <v/>
      </c>
      <c r="U222" s="1" t="str">
        <f>IFERROR(SMALL($T$3:$T$228,ROWS($T$3:T222)),"")</f>
        <v/>
      </c>
      <c r="V222" s="1" t="str">
        <f>IF(U222&lt;&gt;"",INDEX($G$3:$I$228,MATCH($U222,$T$3:$T$228,0),COLUMNS($U$3:U222)),"")</f>
        <v/>
      </c>
      <c r="W222" s="1" t="str">
        <f>IF(V222&lt;&gt;"",INDEX($G$3:$I$228,MATCH($U222,$T$3:$T$228,0),COLUMNS($U$3:V222)),"")</f>
        <v/>
      </c>
      <c r="X222" s="1" t="str">
        <f>IF(W222&lt;&gt;"",INDEX($G$3:$I$228,MATCH($U222,$T$3:$T$228,0),COLUMNS($U$3:W222)),"")</f>
        <v/>
      </c>
      <c r="Z222" s="1" t="b">
        <f t="shared" si="11"/>
        <v>1</v>
      </c>
      <c r="AA222" s="1">
        <f>IF(Z222=TRUE,ROWS($Z$3:Z222),"")</f>
        <v>220</v>
      </c>
      <c r="AB222" s="1">
        <f>IFERROR(SMALL($AA$3:$AA$228,ROWS($AA$3:AA222)),"")</f>
        <v>220</v>
      </c>
      <c r="AC222" s="1" t="str">
        <f>IF(AB222&lt;&gt;"",INDEX($G$3:$I$228,MATCH($AB222,$AA$3:$AA$228,0),COLUMNS($AA$3:AA222)),"")</f>
        <v>Cleanshelf Kahawa West</v>
      </c>
      <c r="AD222" s="1">
        <f>IF(AC222&lt;&gt;"",INDEX($G$3:$I$228,MATCH($AB222,$AA$3:$AA$228,0),COLUMNS($AA$3:AB222)),"")</f>
        <v>6284.66</v>
      </c>
      <c r="AE222" s="1" t="str">
        <f>IF(AD222&lt;&gt;"",INDEX($G$3:$I$228,MATCH($AB222,$AA$3:$AA$228,0),COLUMNS($AA$3:AC222)),"")</f>
        <v>Nairobi</v>
      </c>
    </row>
    <row r="223" spans="1:31" x14ac:dyDescent="0.2">
      <c r="A223" s="2">
        <v>44755</v>
      </c>
      <c r="B223" s="1" t="s">
        <v>182</v>
      </c>
      <c r="C223" s="1" t="s">
        <v>250</v>
      </c>
      <c r="D223" s="1">
        <v>133039</v>
      </c>
      <c r="E223" s="3">
        <v>26983.19</v>
      </c>
      <c r="F223" s="1" t="s">
        <v>11</v>
      </c>
      <c r="G223" s="1" t="s">
        <v>224</v>
      </c>
      <c r="H223" s="3">
        <f>SUMIFS(Table1[Value],Table1[Outlets],G223)</f>
        <v>6081.46</v>
      </c>
      <c r="I223" s="1" t="str">
        <f>IFERROR(VLOOKUP(G223,Table1[[Outlets]:[Region]],2,0),"")</f>
        <v>Nairobi</v>
      </c>
      <c r="K223" s="1" t="b">
        <f t="shared" si="9"/>
        <v>0</v>
      </c>
      <c r="L223" s="1" t="str">
        <f>IF(K223=TRUE,ROWS($J$3:J223),"")</f>
        <v/>
      </c>
      <c r="M223" s="1" t="str">
        <f>IFERROR(SMALL($L$3:$L$228,ROWS($L$3:L223)),"")</f>
        <v/>
      </c>
      <c r="N223" s="1" t="str">
        <f>IF(M223&lt;&gt;"",INDEX($G$3:$I$228,MATCH($M223,$L$3:$L$228,0),COLUMNS($L$3:L223)),"")</f>
        <v/>
      </c>
      <c r="O223" s="3" t="str">
        <f>IF(N223&lt;&gt;"",INDEX($G$3:$I$228,MATCH($M223,$L$3:$L$228,0),COLUMNS($L$3:M223)),"")</f>
        <v/>
      </c>
      <c r="P223" s="1" t="str">
        <f>IF(O223&lt;&gt;"",INDEX($G$3:$I$228,MATCH($M223,$L$3:$L$228,0),COLUMNS($L$3:N223)),"")</f>
        <v/>
      </c>
      <c r="S223" s="1" t="b">
        <f t="shared" si="10"/>
        <v>0</v>
      </c>
      <c r="T223" s="1" t="str">
        <f>IF(S223=TRUE,ROWS($S$3:S223),"")</f>
        <v/>
      </c>
      <c r="U223" s="1" t="str">
        <f>IFERROR(SMALL($T$3:$T$228,ROWS($T$3:T223)),"")</f>
        <v/>
      </c>
      <c r="V223" s="1" t="str">
        <f>IF(U223&lt;&gt;"",INDEX($G$3:$I$228,MATCH($U223,$T$3:$T$228,0),COLUMNS($U$3:U223)),"")</f>
        <v/>
      </c>
      <c r="W223" s="1" t="str">
        <f>IF(V223&lt;&gt;"",INDEX($G$3:$I$228,MATCH($U223,$T$3:$T$228,0),COLUMNS($U$3:V223)),"")</f>
        <v/>
      </c>
      <c r="X223" s="1" t="str">
        <f>IF(W223&lt;&gt;"",INDEX($G$3:$I$228,MATCH($U223,$T$3:$T$228,0),COLUMNS($U$3:W223)),"")</f>
        <v/>
      </c>
      <c r="Z223" s="1" t="b">
        <f t="shared" si="11"/>
        <v>1</v>
      </c>
      <c r="AA223" s="1">
        <f>IF(Z223=TRUE,ROWS($Z$3:Z223),"")</f>
        <v>221</v>
      </c>
      <c r="AB223" s="1">
        <f>IFERROR(SMALL($AA$3:$AA$228,ROWS($AA$3:AA223)),"")</f>
        <v>221</v>
      </c>
      <c r="AC223" s="1" t="str">
        <f>IF(AB223&lt;&gt;"",INDEX($G$3:$I$228,MATCH($AB223,$AA$3:$AA$228,0),COLUMNS($AA$3:AA223)),"")</f>
        <v>Quickmart Kikiyu Rd</v>
      </c>
      <c r="AD223" s="1">
        <f>IF(AC223&lt;&gt;"",INDEX($G$3:$I$228,MATCH($AB223,$AA$3:$AA$228,0),COLUMNS($AA$3:AB223)),"")</f>
        <v>6081.46</v>
      </c>
      <c r="AE223" s="1" t="str">
        <f>IF(AD223&lt;&gt;"",INDEX($G$3:$I$228,MATCH($AB223,$AA$3:$AA$228,0),COLUMNS($AA$3:AC223)),"")</f>
        <v>Nairobi</v>
      </c>
    </row>
    <row r="224" spans="1:31" x14ac:dyDescent="0.2">
      <c r="A224" s="2">
        <v>44756</v>
      </c>
      <c r="B224" s="1" t="s">
        <v>123</v>
      </c>
      <c r="C224" s="1" t="s">
        <v>3</v>
      </c>
      <c r="D224" s="1">
        <v>133051</v>
      </c>
      <c r="E224" s="3">
        <v>6284.49</v>
      </c>
      <c r="F224" s="1" t="s">
        <v>11</v>
      </c>
      <c r="G224" s="1" t="s">
        <v>225</v>
      </c>
      <c r="H224" s="3">
        <f>SUMIFS(Table1[Value],Table1[Outlets],G224)</f>
        <v>6081.46</v>
      </c>
      <c r="I224" s="1" t="str">
        <f>IFERROR(VLOOKUP(G224,Table1[[Outlets]:[Region]],2,0),"")</f>
        <v>Nairobi</v>
      </c>
      <c r="K224" s="1" t="b">
        <f t="shared" si="9"/>
        <v>0</v>
      </c>
      <c r="L224" s="1" t="str">
        <f>IF(K224=TRUE,ROWS($J$3:J224),"")</f>
        <v/>
      </c>
      <c r="M224" s="1" t="str">
        <f>IFERROR(SMALL($L$3:$L$228,ROWS($L$3:L224)),"")</f>
        <v/>
      </c>
      <c r="N224" s="1" t="str">
        <f>IF(M224&lt;&gt;"",INDEX($G$3:$I$228,MATCH($M224,$L$3:$L$228,0),COLUMNS($L$3:L224)),"")</f>
        <v/>
      </c>
      <c r="O224" s="3" t="str">
        <f>IF(N224&lt;&gt;"",INDEX($G$3:$I$228,MATCH($M224,$L$3:$L$228,0),COLUMNS($L$3:M224)),"")</f>
        <v/>
      </c>
      <c r="P224" s="1" t="str">
        <f>IF(O224&lt;&gt;"",INDEX($G$3:$I$228,MATCH($M224,$L$3:$L$228,0),COLUMNS($L$3:N224)),"")</f>
        <v/>
      </c>
      <c r="S224" s="1" t="b">
        <f t="shared" si="10"/>
        <v>0</v>
      </c>
      <c r="T224" s="1" t="str">
        <f>IF(S224=TRUE,ROWS($S$3:S224),"")</f>
        <v/>
      </c>
      <c r="U224" s="1" t="str">
        <f>IFERROR(SMALL($T$3:$T$228,ROWS($T$3:T224)),"")</f>
        <v/>
      </c>
      <c r="V224" s="1" t="str">
        <f>IF(U224&lt;&gt;"",INDEX($G$3:$I$228,MATCH($U224,$T$3:$T$228,0),COLUMNS($U$3:U224)),"")</f>
        <v/>
      </c>
      <c r="W224" s="1" t="str">
        <f>IF(V224&lt;&gt;"",INDEX($G$3:$I$228,MATCH($U224,$T$3:$T$228,0),COLUMNS($U$3:V224)),"")</f>
        <v/>
      </c>
      <c r="X224" s="1" t="str">
        <f>IF(W224&lt;&gt;"",INDEX($G$3:$I$228,MATCH($U224,$T$3:$T$228,0),COLUMNS($U$3:W224)),"")</f>
        <v/>
      </c>
      <c r="Z224" s="1" t="b">
        <f t="shared" si="11"/>
        <v>1</v>
      </c>
      <c r="AA224" s="1">
        <f>IF(Z224=TRUE,ROWS($Z$3:Z224),"")</f>
        <v>222</v>
      </c>
      <c r="AB224" s="1">
        <f>IFERROR(SMALL($AA$3:$AA$228,ROWS($AA$3:AA224)),"")</f>
        <v>222</v>
      </c>
      <c r="AC224" s="1" t="str">
        <f>IF(AB224&lt;&gt;"",INDEX($G$3:$I$228,MATCH($AB224,$AA$3:$AA$228,0),COLUMNS($AA$3:AA224)),"")</f>
        <v>Quickmart Ronagai Main</v>
      </c>
      <c r="AD224" s="1">
        <f>IF(AC224&lt;&gt;"",INDEX($G$3:$I$228,MATCH($AB224,$AA$3:$AA$228,0),COLUMNS($AA$3:AB224)),"")</f>
        <v>6081.46</v>
      </c>
      <c r="AE224" s="1" t="str">
        <f>IF(AD224&lt;&gt;"",INDEX($G$3:$I$228,MATCH($AB224,$AA$3:$AA$228,0),COLUMNS($AA$3:AC224)),"")</f>
        <v>Nairobi</v>
      </c>
    </row>
    <row r="225" spans="1:31" x14ac:dyDescent="0.2">
      <c r="A225" s="2">
        <v>44756</v>
      </c>
      <c r="B225" s="1" t="s">
        <v>183</v>
      </c>
      <c r="C225" s="1" t="s">
        <v>3</v>
      </c>
      <c r="D225" s="1">
        <v>133053</v>
      </c>
      <c r="E225" s="3">
        <v>4241.38</v>
      </c>
      <c r="F225" s="1" t="s">
        <v>11</v>
      </c>
      <c r="G225" s="1" t="s">
        <v>175</v>
      </c>
      <c r="H225" s="3">
        <f>SUMIFS(Table1[Value],Table1[Outlets],G225)</f>
        <v>5295.28</v>
      </c>
      <c r="I225" s="1" t="str">
        <f>IFERROR(VLOOKUP(G225,Table1[[Outlets]:[Region]],2,0),"")</f>
        <v>Nairobi</v>
      </c>
      <c r="K225" s="1" t="b">
        <f t="shared" si="9"/>
        <v>0</v>
      </c>
      <c r="L225" s="1" t="str">
        <f>IF(K225=TRUE,ROWS($J$3:J225),"")</f>
        <v/>
      </c>
      <c r="M225" s="1" t="str">
        <f>IFERROR(SMALL($L$3:$L$228,ROWS($L$3:L225)),"")</f>
        <v/>
      </c>
      <c r="N225" s="1" t="str">
        <f>IF(M225&lt;&gt;"",INDEX($G$3:$I$228,MATCH($M225,$L$3:$L$228,0),COLUMNS($L$3:L225)),"")</f>
        <v/>
      </c>
      <c r="O225" s="3" t="str">
        <f>IF(N225&lt;&gt;"",INDEX($G$3:$I$228,MATCH($M225,$L$3:$L$228,0),COLUMNS($L$3:M225)),"")</f>
        <v/>
      </c>
      <c r="P225" s="1" t="str">
        <f>IF(O225&lt;&gt;"",INDEX($G$3:$I$228,MATCH($M225,$L$3:$L$228,0),COLUMNS($L$3:N225)),"")</f>
        <v/>
      </c>
      <c r="S225" s="1" t="b">
        <f t="shared" si="10"/>
        <v>0</v>
      </c>
      <c r="T225" s="1" t="str">
        <f>IF(S225=TRUE,ROWS($S$3:S225),"")</f>
        <v/>
      </c>
      <c r="U225" s="1" t="str">
        <f>IFERROR(SMALL($T$3:$T$228,ROWS($T$3:T225)),"")</f>
        <v/>
      </c>
      <c r="V225" s="1" t="str">
        <f>IF(U225&lt;&gt;"",INDEX($G$3:$I$228,MATCH($U225,$T$3:$T$228,0),COLUMNS($U$3:U225)),"")</f>
        <v/>
      </c>
      <c r="W225" s="1" t="str">
        <f>IF(V225&lt;&gt;"",INDEX($G$3:$I$228,MATCH($U225,$T$3:$T$228,0),COLUMNS($U$3:V225)),"")</f>
        <v/>
      </c>
      <c r="X225" s="1" t="str">
        <f>IF(W225&lt;&gt;"",INDEX($G$3:$I$228,MATCH($U225,$T$3:$T$228,0),COLUMNS($U$3:W225)),"")</f>
        <v/>
      </c>
      <c r="Z225" s="1" t="b">
        <f t="shared" si="11"/>
        <v>1</v>
      </c>
      <c r="AA225" s="1">
        <f>IF(Z225=TRUE,ROWS($Z$3:Z225),"")</f>
        <v>223</v>
      </c>
      <c r="AB225" s="1">
        <f>IFERROR(SMALL($AA$3:$AA$228,ROWS($AA$3:AA225)),"")</f>
        <v>223</v>
      </c>
      <c r="AC225" s="1" t="str">
        <f>IF(AB225&lt;&gt;"",INDEX($G$3:$I$228,MATCH($AB225,$AA$3:$AA$228,0),COLUMNS($AA$3:AA225)),"")</f>
        <v>Naivas Tassia</v>
      </c>
      <c r="AD225" s="1">
        <f>IF(AC225&lt;&gt;"",INDEX($G$3:$I$228,MATCH($AB225,$AA$3:$AA$228,0),COLUMNS($AA$3:AB225)),"")</f>
        <v>5295.28</v>
      </c>
      <c r="AE225" s="1" t="str">
        <f>IF(AD225&lt;&gt;"",INDEX($G$3:$I$228,MATCH($AB225,$AA$3:$AA$228,0),COLUMNS($AA$3:AC225)),"")</f>
        <v>Nairobi</v>
      </c>
    </row>
    <row r="226" spans="1:31" x14ac:dyDescent="0.2">
      <c r="A226" s="2">
        <v>44756</v>
      </c>
      <c r="B226" s="1" t="s">
        <v>184</v>
      </c>
      <c r="C226" s="1" t="s">
        <v>3</v>
      </c>
      <c r="D226" s="1">
        <v>133054</v>
      </c>
      <c r="E226" s="3">
        <v>406279.15</v>
      </c>
      <c r="F226" s="1" t="s">
        <v>5</v>
      </c>
      <c r="G226" s="1" t="s">
        <v>183</v>
      </c>
      <c r="H226" s="3">
        <f>SUMIFS(Table1[Value],Table1[Outlets],G226)</f>
        <v>4241.38</v>
      </c>
      <c r="I226" s="1" t="str">
        <f>IFERROR(VLOOKUP(G226,Table1[[Outlets]:[Region]],2,0),"")</f>
        <v>Nairobi</v>
      </c>
      <c r="K226" s="1" t="b">
        <f t="shared" si="9"/>
        <v>0</v>
      </c>
      <c r="L226" s="1" t="str">
        <f>IF(K226=TRUE,ROWS($J$3:J226),"")</f>
        <v/>
      </c>
      <c r="M226" s="1" t="str">
        <f>IFERROR(SMALL($L$3:$L$228,ROWS($L$3:L226)),"")</f>
        <v/>
      </c>
      <c r="N226" s="1" t="str">
        <f>IF(M226&lt;&gt;"",INDEX($G$3:$I$228,MATCH($M226,$L$3:$L$228,0),COLUMNS($L$3:L226)),"")</f>
        <v/>
      </c>
      <c r="O226" s="3" t="str">
        <f>IF(N226&lt;&gt;"",INDEX($G$3:$I$228,MATCH($M226,$L$3:$L$228,0),COLUMNS($L$3:M226)),"")</f>
        <v/>
      </c>
      <c r="P226" s="1" t="str">
        <f>IF(O226&lt;&gt;"",INDEX($G$3:$I$228,MATCH($M226,$L$3:$L$228,0),COLUMNS($L$3:N226)),"")</f>
        <v/>
      </c>
      <c r="S226" s="1" t="b">
        <f t="shared" si="10"/>
        <v>0</v>
      </c>
      <c r="T226" s="1" t="str">
        <f>IF(S226=TRUE,ROWS($S$3:S226),"")</f>
        <v/>
      </c>
      <c r="U226" s="1" t="str">
        <f>IFERROR(SMALL($T$3:$T$228,ROWS($T$3:T226)),"")</f>
        <v/>
      </c>
      <c r="V226" s="1" t="str">
        <f>IF(U226&lt;&gt;"",INDEX($G$3:$I$228,MATCH($U226,$T$3:$T$228,0),COLUMNS($U$3:U226)),"")</f>
        <v/>
      </c>
      <c r="W226" s="1" t="str">
        <f>IF(V226&lt;&gt;"",INDEX($G$3:$I$228,MATCH($U226,$T$3:$T$228,0),COLUMNS($U$3:V226)),"")</f>
        <v/>
      </c>
      <c r="X226" s="1" t="str">
        <f>IF(W226&lt;&gt;"",INDEX($G$3:$I$228,MATCH($U226,$T$3:$T$228,0),COLUMNS($U$3:W226)),"")</f>
        <v/>
      </c>
      <c r="Z226" s="1" t="b">
        <f t="shared" si="11"/>
        <v>1</v>
      </c>
      <c r="AA226" s="1">
        <f>IF(Z226=TRUE,ROWS($Z$3:Z226),"")</f>
        <v>224</v>
      </c>
      <c r="AB226" s="1">
        <f>IFERROR(SMALL($AA$3:$AA$228,ROWS($AA$3:AA226)),"")</f>
        <v>224</v>
      </c>
      <c r="AC226" s="1" t="str">
        <f>IF(AB226&lt;&gt;"",INDEX($G$3:$I$228,MATCH($AB226,$AA$3:$AA$228,0),COLUMNS($AA$3:AA226)),"")</f>
        <v>Naivas Kahawa West</v>
      </c>
      <c r="AD226" s="1">
        <f>IF(AC226&lt;&gt;"",INDEX($G$3:$I$228,MATCH($AB226,$AA$3:$AA$228,0),COLUMNS($AA$3:AB226)),"")</f>
        <v>4241.38</v>
      </c>
      <c r="AE226" s="1" t="str">
        <f>IF(AD226&lt;&gt;"",INDEX($G$3:$I$228,MATCH($AB226,$AA$3:$AA$228,0),COLUMNS($AA$3:AC226)),"")</f>
        <v>Nairobi</v>
      </c>
    </row>
    <row r="227" spans="1:31" x14ac:dyDescent="0.2">
      <c r="A227" s="2">
        <v>44756</v>
      </c>
      <c r="B227" s="1" t="s">
        <v>185</v>
      </c>
      <c r="C227" s="1" t="s">
        <v>3</v>
      </c>
      <c r="D227" s="1">
        <v>133057</v>
      </c>
      <c r="E227" s="3">
        <v>23508.639999999999</v>
      </c>
      <c r="F227" s="1" t="s">
        <v>11</v>
      </c>
      <c r="G227" s="1" t="s">
        <v>200</v>
      </c>
      <c r="H227" s="3">
        <f>SUMIFS(Table1[Value],Table1[Outlets],G227)</f>
        <v>4170.2700000000004</v>
      </c>
      <c r="I227" s="1" t="str">
        <f>IFERROR(VLOOKUP(G227,Table1[[Outlets]:[Region]],2,0),"")</f>
        <v>Nairobi</v>
      </c>
      <c r="K227" s="1" t="b">
        <f t="shared" si="9"/>
        <v>0</v>
      </c>
      <c r="L227" s="1" t="str">
        <f>IF(K227=TRUE,ROWS($J$3:J227),"")</f>
        <v/>
      </c>
      <c r="M227" s="1" t="str">
        <f>IFERROR(SMALL($L$3:$L$228,ROWS($L$3:L227)),"")</f>
        <v/>
      </c>
      <c r="N227" s="1" t="str">
        <f>IF(M227&lt;&gt;"",INDEX($G$3:$I$228,MATCH($M227,$L$3:$L$228,0),COLUMNS($L$3:L227)),"")</f>
        <v/>
      </c>
      <c r="O227" s="3" t="str">
        <f>IF(N227&lt;&gt;"",INDEX($G$3:$I$228,MATCH($M227,$L$3:$L$228,0),COLUMNS($L$3:M227)),"")</f>
        <v/>
      </c>
      <c r="P227" s="1" t="str">
        <f>IF(O227&lt;&gt;"",INDEX($G$3:$I$228,MATCH($M227,$L$3:$L$228,0),COLUMNS($L$3:N227)),"")</f>
        <v/>
      </c>
      <c r="S227" s="1" t="b">
        <f t="shared" si="10"/>
        <v>0</v>
      </c>
      <c r="T227" s="1" t="str">
        <f>IF(S227=TRUE,ROWS($S$3:S227),"")</f>
        <v/>
      </c>
      <c r="U227" s="1" t="str">
        <f>IFERROR(SMALL($T$3:$T$228,ROWS($T$3:T227)),"")</f>
        <v/>
      </c>
      <c r="V227" s="1" t="str">
        <f>IF(U227&lt;&gt;"",INDEX($G$3:$I$228,MATCH($U227,$T$3:$T$228,0),COLUMNS($U$3:U227)),"")</f>
        <v/>
      </c>
      <c r="W227" s="1" t="str">
        <f>IF(V227&lt;&gt;"",INDEX($G$3:$I$228,MATCH($U227,$T$3:$T$228,0),COLUMNS($U$3:V227)),"")</f>
        <v/>
      </c>
      <c r="X227" s="1" t="str">
        <f>IF(W227&lt;&gt;"",INDEX($G$3:$I$228,MATCH($U227,$T$3:$T$228,0),COLUMNS($U$3:W227)),"")</f>
        <v/>
      </c>
      <c r="Z227" s="1" t="b">
        <f t="shared" si="11"/>
        <v>1</v>
      </c>
      <c r="AA227" s="1">
        <f>IF(Z227=TRUE,ROWS($Z$3:Z227),"")</f>
        <v>225</v>
      </c>
      <c r="AB227" s="1">
        <f>IFERROR(SMALL($AA$3:$AA$228,ROWS($AA$3:AA227)),"")</f>
        <v>225</v>
      </c>
      <c r="AC227" s="1" t="str">
        <f>IF(AB227&lt;&gt;"",INDEX($G$3:$I$228,MATCH($AB227,$AA$3:$AA$228,0),COLUMNS($AA$3:AA227)),"")</f>
        <v>Naivas Eastern By Pass</v>
      </c>
      <c r="AD227" s="1">
        <f>IF(AC227&lt;&gt;"",INDEX($G$3:$I$228,MATCH($AB227,$AA$3:$AA$228,0),COLUMNS($AA$3:AB227)),"")</f>
        <v>4170.2700000000004</v>
      </c>
      <c r="AE227" s="1" t="str">
        <f>IF(AD227&lt;&gt;"",INDEX($G$3:$I$228,MATCH($AB227,$AA$3:$AA$228,0),COLUMNS($AA$3:AC227)),"")</f>
        <v>Nairobi</v>
      </c>
    </row>
    <row r="228" spans="1:31" x14ac:dyDescent="0.2">
      <c r="A228" s="2">
        <v>44756</v>
      </c>
      <c r="B228" s="1" t="s">
        <v>186</v>
      </c>
      <c r="C228" s="1" t="s">
        <v>252</v>
      </c>
      <c r="D228" s="1">
        <v>133060</v>
      </c>
      <c r="E228" s="3">
        <v>33682.94</v>
      </c>
      <c r="F228" s="1" t="s">
        <v>11</v>
      </c>
      <c r="G228" s="1" t="s">
        <v>217</v>
      </c>
      <c r="H228" s="3">
        <f>SUMIFS(Table1[Value],Table1[Outlets],G228)</f>
        <v>4055.18</v>
      </c>
      <c r="I228" s="1" t="str">
        <f>IFERROR(VLOOKUP(G228,Table1[[Outlets]:[Region]],2,0),"")</f>
        <v>Nairobi</v>
      </c>
      <c r="K228" s="1" t="b">
        <f t="shared" si="9"/>
        <v>0</v>
      </c>
      <c r="L228" s="1" t="str">
        <f>IF(K228=TRUE,ROWS($J$3:J228),"")</f>
        <v/>
      </c>
      <c r="M228" s="1" t="str">
        <f>IFERROR(SMALL($L$3:$L$228,ROWS($L$3:L228)),"")</f>
        <v/>
      </c>
      <c r="N228" s="1" t="str">
        <f>IF(M228&lt;&gt;"",INDEX($G$3:$I$228,MATCH($M228,$L$3:$L$228,0),COLUMNS($L$3:L228)),"")</f>
        <v/>
      </c>
      <c r="O228" s="3" t="str">
        <f>IF(N228&lt;&gt;"",INDEX($G$3:$I$228,MATCH($M228,$L$3:$L$228,0),COLUMNS($L$3:M228)),"")</f>
        <v/>
      </c>
      <c r="P228" s="1" t="str">
        <f>IF(O228&lt;&gt;"",INDEX($G$3:$I$228,MATCH($M228,$L$3:$L$228,0),COLUMNS($L$3:N228)),"")</f>
        <v/>
      </c>
      <c r="S228" s="1" t="b">
        <f t="shared" si="10"/>
        <v>0</v>
      </c>
      <c r="T228" s="1" t="str">
        <f>IF(S228=TRUE,ROWS($S$3:S228),"")</f>
        <v/>
      </c>
      <c r="U228" s="1" t="str">
        <f>IFERROR(SMALL($T$3:$T$228,ROWS($T$3:T228)),"")</f>
        <v/>
      </c>
      <c r="V228" s="1" t="str">
        <f>IF(U228&lt;&gt;"",INDEX($G$3:$I$228,MATCH($U228,$T$3:$T$228,0),COLUMNS($U$3:U228)),"")</f>
        <v/>
      </c>
      <c r="W228" s="1" t="str">
        <f>IF(V228&lt;&gt;"",INDEX($G$3:$I$228,MATCH($U228,$T$3:$T$228,0),COLUMNS($U$3:V228)),"")</f>
        <v/>
      </c>
      <c r="X228" s="1" t="str">
        <f>IF(W228&lt;&gt;"",INDEX($G$3:$I$228,MATCH($U228,$T$3:$T$228,0),COLUMNS($U$3:W228)),"")</f>
        <v/>
      </c>
      <c r="Z228" s="1" t="b">
        <f t="shared" si="11"/>
        <v>1</v>
      </c>
      <c r="AA228" s="1">
        <f>IF(Z228=TRUE,ROWS($Z$3:Z228),"")</f>
        <v>226</v>
      </c>
      <c r="AB228" s="1">
        <f>IFERROR(SMALL($AA$3:$AA$228,ROWS($AA$3:AA228)),"")</f>
        <v>226</v>
      </c>
      <c r="AC228" s="1" t="str">
        <f>IF(AB228&lt;&gt;"",INDEX($G$3:$I$228,MATCH($AB228,$AA$3:$AA$228,0),COLUMNS($AA$3:AA228)),"")</f>
        <v>Game Garden City</v>
      </c>
      <c r="AD228" s="1">
        <f>IF(AC228&lt;&gt;"",INDEX($G$3:$I$228,MATCH($AB228,$AA$3:$AA$228,0),COLUMNS($AA$3:AB228)),"")</f>
        <v>4055.18</v>
      </c>
      <c r="AE228" s="1" t="str">
        <f>IF(AD228&lt;&gt;"",INDEX($G$3:$I$228,MATCH($AB228,$AA$3:$AA$228,0),COLUMNS($AA$3:AC228)),"")</f>
        <v>Nairobi</v>
      </c>
    </row>
    <row r="229" spans="1:31" x14ac:dyDescent="0.2">
      <c r="A229" s="2">
        <v>44756</v>
      </c>
      <c r="B229" s="1" t="s">
        <v>187</v>
      </c>
      <c r="C229" s="1" t="s">
        <v>3</v>
      </c>
      <c r="D229" s="1">
        <v>133061</v>
      </c>
      <c r="E229" s="3">
        <v>80511.98</v>
      </c>
      <c r="F229" s="1" t="s">
        <v>9</v>
      </c>
      <c r="G229" s="1" t="str">
        <f>Formula_Unique_Values!K228</f>
        <v/>
      </c>
      <c r="H229" s="3">
        <f>SUMIFS(Table1[Value],Table1[Outlets],G229)</f>
        <v>0</v>
      </c>
      <c r="I229" s="1" t="str">
        <f>IFERROR(VLOOKUP(G229,Table1[[Outlets]:[Region]],2,0),"")</f>
        <v/>
      </c>
    </row>
    <row r="230" spans="1:31" x14ac:dyDescent="0.2">
      <c r="A230" s="2">
        <v>44756</v>
      </c>
      <c r="B230" s="1" t="s">
        <v>188</v>
      </c>
      <c r="C230" s="1" t="s">
        <v>3</v>
      </c>
      <c r="D230" s="1">
        <v>133063</v>
      </c>
      <c r="E230" s="3">
        <v>11817.26</v>
      </c>
      <c r="F230" s="1" t="s">
        <v>15</v>
      </c>
      <c r="G230" s="1" t="str">
        <f>Formula_Unique_Values!K229</f>
        <v/>
      </c>
      <c r="H230" s="3">
        <f>SUMIFS(Table1[Value],Table1[Outlets],G230)</f>
        <v>0</v>
      </c>
      <c r="I230" s="1" t="str">
        <f>IFERROR(VLOOKUP(G230,Table1[[Outlets]:[Region]],2,0),"")</f>
        <v/>
      </c>
    </row>
    <row r="231" spans="1:31" x14ac:dyDescent="0.2">
      <c r="A231" s="2">
        <v>44756</v>
      </c>
      <c r="B231" s="1" t="s">
        <v>189</v>
      </c>
      <c r="C231" s="1" t="s">
        <v>253</v>
      </c>
      <c r="D231" s="1">
        <v>133064</v>
      </c>
      <c r="E231" s="3">
        <v>25801.05</v>
      </c>
      <c r="F231" s="1" t="s">
        <v>9</v>
      </c>
      <c r="G231" s="1" t="str">
        <f>Formula_Unique_Values!K230</f>
        <v/>
      </c>
      <c r="H231" s="3">
        <f>SUMIFS(Table1[Value],Table1[Outlets],G231)</f>
        <v>0</v>
      </c>
      <c r="I231" s="1" t="str">
        <f>IFERROR(VLOOKUP(G231,Table1[[Outlets]:[Region]],2,0),"")</f>
        <v/>
      </c>
    </row>
    <row r="232" spans="1:31" x14ac:dyDescent="0.2">
      <c r="A232" s="2">
        <v>44756</v>
      </c>
      <c r="B232" s="1" t="s">
        <v>93</v>
      </c>
      <c r="C232" s="1" t="s">
        <v>3</v>
      </c>
      <c r="D232" s="1">
        <v>133065</v>
      </c>
      <c r="E232" s="3">
        <v>14479.65</v>
      </c>
      <c r="F232" s="1" t="s">
        <v>9</v>
      </c>
      <c r="G232" s="1" t="str">
        <f>Formula_Unique_Values!K231</f>
        <v/>
      </c>
      <c r="H232" s="3">
        <f>SUMIFS(Table1[Value],Table1[Outlets],G232)</f>
        <v>0</v>
      </c>
      <c r="I232" s="1" t="str">
        <f>IFERROR(VLOOKUP(G232,Table1[[Outlets]:[Region]],2,0),"")</f>
        <v/>
      </c>
    </row>
    <row r="233" spans="1:31" x14ac:dyDescent="0.2">
      <c r="A233" s="2">
        <v>44756</v>
      </c>
      <c r="B233" s="1" t="s">
        <v>25</v>
      </c>
      <c r="C233" s="1" t="s">
        <v>3</v>
      </c>
      <c r="D233" s="1">
        <v>133066</v>
      </c>
      <c r="E233" s="3">
        <v>113958.45</v>
      </c>
      <c r="F233" s="1" t="s">
        <v>8</v>
      </c>
      <c r="G233" s="1" t="str">
        <f>Formula_Unique_Values!K232</f>
        <v/>
      </c>
      <c r="H233" s="3">
        <f>SUMIFS(Table1[Value],Table1[Outlets],G233)</f>
        <v>0</v>
      </c>
      <c r="I233" s="1" t="str">
        <f>IFERROR(VLOOKUP(G233,Table1[[Outlets]:[Region]],2,0),"")</f>
        <v/>
      </c>
    </row>
    <row r="234" spans="1:31" x14ac:dyDescent="0.2">
      <c r="A234" s="2">
        <v>44756</v>
      </c>
      <c r="B234" s="1" t="s">
        <v>190</v>
      </c>
      <c r="C234" s="1" t="s">
        <v>3</v>
      </c>
      <c r="D234" s="1">
        <v>133067</v>
      </c>
      <c r="E234" s="3">
        <v>8553.8799999999992</v>
      </c>
      <c r="F234" s="1" t="s">
        <v>11</v>
      </c>
      <c r="G234" s="1" t="str">
        <f>Formula_Unique_Values!K233</f>
        <v/>
      </c>
      <c r="H234" s="3">
        <f>SUMIFS(Table1[Value],Table1[Outlets],G234)</f>
        <v>0</v>
      </c>
      <c r="I234" s="1" t="str">
        <f>IFERROR(VLOOKUP(G234,Table1[[Outlets]:[Region]],2,0),"")</f>
        <v/>
      </c>
    </row>
    <row r="235" spans="1:31" x14ac:dyDescent="0.2">
      <c r="A235" s="2">
        <v>44756</v>
      </c>
      <c r="B235" s="1" t="s">
        <v>191</v>
      </c>
      <c r="C235" s="1" t="s">
        <v>3</v>
      </c>
      <c r="D235" s="1">
        <v>133069</v>
      </c>
      <c r="E235" s="3">
        <v>15580.5</v>
      </c>
      <c r="F235" s="1" t="s">
        <v>13</v>
      </c>
      <c r="G235" s="1" t="str">
        <f>Formula_Unique_Values!K234</f>
        <v/>
      </c>
      <c r="H235" s="3">
        <f>SUMIFS(Table1[Value],Table1[Outlets],G235)</f>
        <v>0</v>
      </c>
      <c r="I235" s="1" t="str">
        <f>IFERROR(VLOOKUP(G235,Table1[[Outlets]:[Region]],2,0),"")</f>
        <v/>
      </c>
    </row>
    <row r="236" spans="1:31" x14ac:dyDescent="0.2">
      <c r="A236" s="2">
        <v>44756</v>
      </c>
      <c r="B236" s="1" t="s">
        <v>192</v>
      </c>
      <c r="C236" s="1" t="s">
        <v>3</v>
      </c>
      <c r="D236" s="1">
        <v>133070</v>
      </c>
      <c r="E236" s="3">
        <v>30943.94</v>
      </c>
      <c r="F236" s="1" t="s">
        <v>15</v>
      </c>
      <c r="G236" s="1" t="str">
        <f>Formula_Unique_Values!K235</f>
        <v/>
      </c>
      <c r="H236" s="3">
        <f>SUMIFS(Table1[Value],Table1[Outlets],G236)</f>
        <v>0</v>
      </c>
      <c r="I236" s="1" t="str">
        <f>IFERROR(VLOOKUP(G236,Table1[[Outlets]:[Region]],2,0),"")</f>
        <v/>
      </c>
    </row>
    <row r="237" spans="1:31" x14ac:dyDescent="0.2">
      <c r="A237" s="2">
        <v>44756</v>
      </c>
      <c r="B237" s="1" t="s">
        <v>113</v>
      </c>
      <c r="C237" s="1" t="s">
        <v>3</v>
      </c>
      <c r="D237" s="1">
        <v>133071</v>
      </c>
      <c r="E237" s="3">
        <v>51125.43</v>
      </c>
      <c r="F237" s="1" t="s">
        <v>9</v>
      </c>
      <c r="G237" s="1" t="str">
        <f>Formula_Unique_Values!K236</f>
        <v/>
      </c>
      <c r="H237" s="3">
        <f>SUMIFS(Table1[Value],Table1[Outlets],G237)</f>
        <v>0</v>
      </c>
      <c r="I237" s="1" t="str">
        <f>IFERROR(VLOOKUP(G237,Table1[[Outlets]:[Region]],2,0),"")</f>
        <v/>
      </c>
    </row>
    <row r="238" spans="1:31" x14ac:dyDescent="0.2">
      <c r="A238" s="2">
        <v>44756</v>
      </c>
      <c r="B238" s="1" t="s">
        <v>96</v>
      </c>
      <c r="C238" s="1" t="s">
        <v>3</v>
      </c>
      <c r="D238" s="1">
        <v>133072</v>
      </c>
      <c r="E238" s="3">
        <v>48442.77</v>
      </c>
      <c r="F238" s="1" t="s">
        <v>9</v>
      </c>
      <c r="G238" s="1" t="str">
        <f>Formula_Unique_Values!K237</f>
        <v/>
      </c>
      <c r="H238" s="3">
        <f>SUMIFS(Table1[Value],Table1[Outlets],G238)</f>
        <v>0</v>
      </c>
      <c r="I238" s="1" t="str">
        <f>IFERROR(VLOOKUP(G238,Table1[[Outlets]:[Region]],2,0),"")</f>
        <v/>
      </c>
    </row>
    <row r="239" spans="1:31" x14ac:dyDescent="0.2">
      <c r="A239" s="2">
        <v>44756</v>
      </c>
      <c r="B239" s="1" t="s">
        <v>21</v>
      </c>
      <c r="C239" s="1" t="s">
        <v>3</v>
      </c>
      <c r="D239" s="1">
        <v>133074</v>
      </c>
      <c r="E239" s="3">
        <v>43613.71</v>
      </c>
      <c r="F239" s="1" t="s">
        <v>4</v>
      </c>
      <c r="G239" s="1" t="str">
        <f>Formula_Unique_Values!K238</f>
        <v/>
      </c>
      <c r="H239" s="3">
        <f>SUMIFS(Table1[Value],Table1[Outlets],G239)</f>
        <v>0</v>
      </c>
      <c r="I239" s="1" t="str">
        <f>IFERROR(VLOOKUP(G239,Table1[[Outlets]:[Region]],2,0),"")</f>
        <v/>
      </c>
    </row>
    <row r="240" spans="1:31" x14ac:dyDescent="0.2">
      <c r="A240" s="2">
        <v>44756</v>
      </c>
      <c r="B240" s="1" t="s">
        <v>193</v>
      </c>
      <c r="C240" s="1" t="s">
        <v>254</v>
      </c>
      <c r="D240" s="1">
        <v>133075</v>
      </c>
      <c r="E240" s="3">
        <v>20483.78</v>
      </c>
      <c r="F240" s="1" t="s">
        <v>9</v>
      </c>
      <c r="G240" s="1" t="str">
        <f>Formula_Unique_Values!K239</f>
        <v/>
      </c>
      <c r="H240" s="3">
        <f>SUMIFS(Table1[Value],Table1[Outlets],G240)</f>
        <v>0</v>
      </c>
      <c r="I240" s="1" t="str">
        <f>IFERROR(VLOOKUP(G240,Table1[[Outlets]:[Region]],2,0),"")</f>
        <v/>
      </c>
    </row>
    <row r="241" spans="1:9" x14ac:dyDescent="0.2">
      <c r="A241" s="2">
        <v>44756</v>
      </c>
      <c r="B241" s="1" t="s">
        <v>121</v>
      </c>
      <c r="C241" s="1" t="s">
        <v>3</v>
      </c>
      <c r="D241" s="1">
        <v>133081</v>
      </c>
      <c r="E241" s="3">
        <v>36362.07</v>
      </c>
      <c r="F241" s="1" t="s">
        <v>13</v>
      </c>
      <c r="G241" s="1" t="str">
        <f>Formula_Unique_Values!K240</f>
        <v/>
      </c>
      <c r="H241" s="3">
        <f>SUMIFS(Table1[Value],Table1[Outlets],G241)</f>
        <v>0</v>
      </c>
      <c r="I241" s="1" t="str">
        <f>IFERROR(VLOOKUP(G241,Table1[[Outlets]:[Region]],2,0),"")</f>
        <v/>
      </c>
    </row>
    <row r="242" spans="1:9" x14ac:dyDescent="0.2">
      <c r="A242" s="2">
        <v>44756</v>
      </c>
      <c r="B242" s="1" t="s">
        <v>194</v>
      </c>
      <c r="C242" s="1" t="s">
        <v>251</v>
      </c>
      <c r="D242" s="1">
        <v>133084</v>
      </c>
      <c r="E242" s="3">
        <v>174542.97</v>
      </c>
      <c r="F242" s="1" t="s">
        <v>4</v>
      </c>
      <c r="G242" s="1" t="str">
        <f>Formula_Unique_Values!K241</f>
        <v/>
      </c>
      <c r="H242" s="3">
        <f>SUMIFS(Table1[Value],Table1[Outlets],G242)</f>
        <v>0</v>
      </c>
      <c r="I242" s="1" t="str">
        <f>IFERROR(VLOOKUP(G242,Table1[[Outlets]:[Region]],2,0),"")</f>
        <v/>
      </c>
    </row>
    <row r="243" spans="1:9" x14ac:dyDescent="0.2">
      <c r="A243" s="2">
        <v>44756</v>
      </c>
      <c r="B243" s="1" t="s">
        <v>19</v>
      </c>
      <c r="C243" s="1" t="s">
        <v>3</v>
      </c>
      <c r="D243" s="1">
        <v>133100</v>
      </c>
      <c r="E243" s="3">
        <v>68107.86</v>
      </c>
      <c r="F243" s="1" t="s">
        <v>4</v>
      </c>
      <c r="G243" s="1" t="str">
        <f>Formula_Unique_Values!K242</f>
        <v/>
      </c>
      <c r="H243" s="3">
        <f>SUMIFS(Table1[Value],Table1[Outlets],G243)</f>
        <v>0</v>
      </c>
      <c r="I243" s="1" t="str">
        <f>IFERROR(VLOOKUP(G243,Table1[[Outlets]:[Region]],2,0),"")</f>
        <v/>
      </c>
    </row>
    <row r="244" spans="1:9" x14ac:dyDescent="0.2">
      <c r="A244" s="2">
        <v>44756</v>
      </c>
      <c r="B244" s="1" t="s">
        <v>63</v>
      </c>
      <c r="C244" s="1" t="s">
        <v>3</v>
      </c>
      <c r="D244" s="1">
        <v>133102</v>
      </c>
      <c r="E244" s="3">
        <v>72938.67</v>
      </c>
      <c r="F244" s="1" t="s">
        <v>8</v>
      </c>
      <c r="G244" s="1" t="str">
        <f>Formula_Unique_Values!K243</f>
        <v/>
      </c>
      <c r="H244" s="3">
        <f>SUMIFS(Table1[Value],Table1[Outlets],G244)</f>
        <v>0</v>
      </c>
      <c r="I244" s="1" t="str">
        <f>IFERROR(VLOOKUP(G244,Table1[[Outlets]:[Region]],2,0),"")</f>
        <v/>
      </c>
    </row>
    <row r="245" spans="1:9" x14ac:dyDescent="0.2">
      <c r="A245" s="2">
        <v>44756</v>
      </c>
      <c r="B245" s="1" t="s">
        <v>63</v>
      </c>
      <c r="C245" s="1" t="s">
        <v>3</v>
      </c>
      <c r="D245" s="1">
        <v>133109</v>
      </c>
      <c r="E245" s="3">
        <v>7307.66</v>
      </c>
      <c r="F245" s="1" t="s">
        <v>8</v>
      </c>
      <c r="G245" s="1" t="str">
        <f>Formula_Unique_Values!K244</f>
        <v/>
      </c>
      <c r="H245" s="3">
        <f>SUMIFS(Table1[Value],Table1[Outlets],G245)</f>
        <v>0</v>
      </c>
      <c r="I245" s="1" t="str">
        <f>IFERROR(VLOOKUP(G245,Table1[[Outlets]:[Region]],2,0),"")</f>
        <v/>
      </c>
    </row>
    <row r="246" spans="1:9" x14ac:dyDescent="0.2">
      <c r="A246" s="2">
        <v>44756</v>
      </c>
      <c r="B246" s="1" t="s">
        <v>195</v>
      </c>
      <c r="C246" s="1" t="s">
        <v>3</v>
      </c>
      <c r="D246" s="1">
        <v>133110</v>
      </c>
      <c r="E246" s="3">
        <v>8527.24</v>
      </c>
      <c r="F246" s="1" t="s">
        <v>13</v>
      </c>
      <c r="G246" s="1" t="str">
        <f>Formula_Unique_Values!K245</f>
        <v/>
      </c>
      <c r="H246" s="3">
        <f>SUMIFS(Table1[Value],Table1[Outlets],G246)</f>
        <v>0</v>
      </c>
      <c r="I246" s="1" t="str">
        <f>IFERROR(VLOOKUP(G246,Table1[[Outlets]:[Region]],2,0),"")</f>
        <v/>
      </c>
    </row>
    <row r="247" spans="1:9" x14ac:dyDescent="0.2">
      <c r="A247" s="2">
        <v>44756</v>
      </c>
      <c r="B247" s="1" t="s">
        <v>150</v>
      </c>
      <c r="C247" s="1" t="s">
        <v>250</v>
      </c>
      <c r="D247" s="1">
        <v>133113</v>
      </c>
      <c r="E247" s="3">
        <v>54489.91</v>
      </c>
      <c r="F247" s="1" t="s">
        <v>8</v>
      </c>
      <c r="G247" s="1" t="str">
        <f>Formula_Unique_Values!K246</f>
        <v/>
      </c>
      <c r="H247" s="3">
        <f>SUMIFS(Table1[Value],Table1[Outlets],G247)</f>
        <v>0</v>
      </c>
      <c r="I247" s="1" t="str">
        <f>IFERROR(VLOOKUP(G247,Table1[[Outlets]:[Region]],2,0),"")</f>
        <v/>
      </c>
    </row>
    <row r="248" spans="1:9" x14ac:dyDescent="0.2">
      <c r="A248" s="2">
        <v>44756</v>
      </c>
      <c r="B248" s="1" t="s">
        <v>196</v>
      </c>
      <c r="C248" s="1" t="s">
        <v>250</v>
      </c>
      <c r="D248" s="1">
        <v>133127</v>
      </c>
      <c r="E248" s="3">
        <v>52335.44</v>
      </c>
      <c r="F248" s="1" t="s">
        <v>9</v>
      </c>
      <c r="G248" s="1" t="str">
        <f>Formula_Unique_Values!K247</f>
        <v/>
      </c>
      <c r="H248" s="3">
        <f>SUMIFS(Table1[Value],Table1[Outlets],G248)</f>
        <v>0</v>
      </c>
      <c r="I248" s="1" t="str">
        <f>IFERROR(VLOOKUP(G248,Table1[[Outlets]:[Region]],2,0),"")</f>
        <v/>
      </c>
    </row>
    <row r="249" spans="1:9" x14ac:dyDescent="0.2">
      <c r="A249" s="2">
        <v>44757</v>
      </c>
      <c r="B249" s="1" t="s">
        <v>140</v>
      </c>
      <c r="C249" s="1" t="s">
        <v>3</v>
      </c>
      <c r="D249" s="1">
        <v>133138</v>
      </c>
      <c r="E249" s="3">
        <v>29020</v>
      </c>
      <c r="F249" s="1" t="s">
        <v>8</v>
      </c>
      <c r="G249" s="1" t="str">
        <f>Formula_Unique_Values!K248</f>
        <v/>
      </c>
      <c r="H249" s="3">
        <f>SUMIFS(Table1[Value],Table1[Outlets],G249)</f>
        <v>0</v>
      </c>
      <c r="I249" s="1" t="str">
        <f>IFERROR(VLOOKUP(G249,Table1[[Outlets]:[Region]],2,0),"")</f>
        <v/>
      </c>
    </row>
    <row r="250" spans="1:9" x14ac:dyDescent="0.2">
      <c r="A250" s="2">
        <v>44757</v>
      </c>
      <c r="B250" s="1" t="s">
        <v>65</v>
      </c>
      <c r="C250" s="1" t="s">
        <v>3</v>
      </c>
      <c r="D250" s="1">
        <v>133140</v>
      </c>
      <c r="E250" s="3">
        <v>234609.97</v>
      </c>
      <c r="F250" s="1" t="s">
        <v>8</v>
      </c>
      <c r="G250" s="1" t="str">
        <f>Formula_Unique_Values!K249</f>
        <v/>
      </c>
      <c r="H250" s="3">
        <f>SUMIFS(Table1[Value],Table1[Outlets],G250)</f>
        <v>0</v>
      </c>
      <c r="I250" s="1" t="str">
        <f>IFERROR(VLOOKUP(G250,Table1[[Outlets]:[Region]],2,0),"")</f>
        <v/>
      </c>
    </row>
    <row r="251" spans="1:9" x14ac:dyDescent="0.2">
      <c r="A251" s="2">
        <v>44757</v>
      </c>
      <c r="B251" s="1" t="s">
        <v>69</v>
      </c>
      <c r="C251" s="1" t="s">
        <v>3</v>
      </c>
      <c r="D251" s="1">
        <v>133143</v>
      </c>
      <c r="E251" s="3">
        <v>126662.96</v>
      </c>
      <c r="F251" s="1" t="s">
        <v>8</v>
      </c>
      <c r="G251" s="1" t="str">
        <f>Formula_Unique_Values!K250</f>
        <v/>
      </c>
      <c r="H251" s="3">
        <f>SUMIFS(Table1[Value],Table1[Outlets],G251)</f>
        <v>0</v>
      </c>
      <c r="I251" s="1" t="str">
        <f>IFERROR(VLOOKUP(G251,Table1[[Outlets]:[Region]],2,0),"")</f>
        <v/>
      </c>
    </row>
    <row r="252" spans="1:9" x14ac:dyDescent="0.2">
      <c r="A252" s="2">
        <v>44757</v>
      </c>
      <c r="B252" s="1" t="s">
        <v>68</v>
      </c>
      <c r="C252" s="1" t="s">
        <v>3</v>
      </c>
      <c r="D252" s="1">
        <v>133144</v>
      </c>
      <c r="E252" s="3">
        <v>333320.93</v>
      </c>
      <c r="F252" s="1" t="s">
        <v>8</v>
      </c>
      <c r="G252" s="1" t="str">
        <f>Formula_Unique_Values!K251</f>
        <v/>
      </c>
      <c r="H252" s="3">
        <f>SUMIFS(Table1[Value],Table1[Outlets],G252)</f>
        <v>0</v>
      </c>
      <c r="I252" s="1" t="str">
        <f>IFERROR(VLOOKUP(G252,Table1[[Outlets]:[Region]],2,0),"")</f>
        <v/>
      </c>
    </row>
    <row r="253" spans="1:9" x14ac:dyDescent="0.2">
      <c r="A253" s="2">
        <v>44757</v>
      </c>
      <c r="B253" s="1" t="s">
        <v>67</v>
      </c>
      <c r="C253" s="1" t="s">
        <v>3</v>
      </c>
      <c r="D253" s="1">
        <v>133145</v>
      </c>
      <c r="E253" s="3">
        <v>42745.69</v>
      </c>
      <c r="F253" s="1" t="s">
        <v>8</v>
      </c>
      <c r="G253" s="1" t="str">
        <f>Formula_Unique_Values!K252</f>
        <v/>
      </c>
      <c r="H253" s="3">
        <f>SUMIFS(Table1[Value],Table1[Outlets],G253)</f>
        <v>0</v>
      </c>
      <c r="I253" s="1" t="str">
        <f>IFERROR(VLOOKUP(G253,Table1[[Outlets]:[Region]],2,0),"")</f>
        <v/>
      </c>
    </row>
    <row r="254" spans="1:9" x14ac:dyDescent="0.2">
      <c r="A254" s="2">
        <v>44757</v>
      </c>
      <c r="B254" s="1" t="s">
        <v>197</v>
      </c>
      <c r="C254" s="1" t="s">
        <v>3</v>
      </c>
      <c r="D254" s="1">
        <v>133148</v>
      </c>
      <c r="E254" s="3">
        <v>37574.99</v>
      </c>
      <c r="F254" s="1" t="s">
        <v>9</v>
      </c>
      <c r="G254" s="1" t="str">
        <f>Formula_Unique_Values!K253</f>
        <v/>
      </c>
      <c r="H254" s="3">
        <f>SUMIFS(Table1[Value],Table1[Outlets],G254)</f>
        <v>0</v>
      </c>
      <c r="I254" s="1" t="str">
        <f>IFERROR(VLOOKUP(G254,Table1[[Outlets]:[Region]],2,0),"")</f>
        <v/>
      </c>
    </row>
    <row r="255" spans="1:9" x14ac:dyDescent="0.2">
      <c r="A255" s="2">
        <v>44757</v>
      </c>
      <c r="B255" s="1" t="s">
        <v>37</v>
      </c>
      <c r="C255" s="1" t="s">
        <v>3</v>
      </c>
      <c r="D255" s="1">
        <v>133150</v>
      </c>
      <c r="E255" s="3">
        <v>7392.38</v>
      </c>
      <c r="F255" s="1" t="s">
        <v>5</v>
      </c>
      <c r="G255" s="1" t="str">
        <f>Formula_Unique_Values!K254</f>
        <v/>
      </c>
      <c r="H255" s="3">
        <f>SUMIFS(Table1[Value],Table1[Outlets],G255)</f>
        <v>0</v>
      </c>
      <c r="I255" s="1" t="str">
        <f>IFERROR(VLOOKUP(G255,Table1[[Outlets]:[Region]],2,0),"")</f>
        <v/>
      </c>
    </row>
    <row r="256" spans="1:9" x14ac:dyDescent="0.2">
      <c r="A256" s="2">
        <v>44757</v>
      </c>
      <c r="B256" s="1" t="s">
        <v>64</v>
      </c>
      <c r="C256" s="1" t="s">
        <v>3</v>
      </c>
      <c r="D256" s="1">
        <v>133151</v>
      </c>
      <c r="E256" s="3">
        <v>113683.43</v>
      </c>
      <c r="F256" s="1" t="s">
        <v>8</v>
      </c>
      <c r="G256" s="1" t="str">
        <f>Formula_Unique_Values!K255</f>
        <v/>
      </c>
      <c r="H256" s="3">
        <f>SUMIFS(Table1[Value],Table1[Outlets],G256)</f>
        <v>0</v>
      </c>
      <c r="I256" s="1" t="str">
        <f>IFERROR(VLOOKUP(G256,Table1[[Outlets]:[Region]],2,0),"")</f>
        <v/>
      </c>
    </row>
    <row r="257" spans="1:9" x14ac:dyDescent="0.2">
      <c r="A257" s="2">
        <v>44757</v>
      </c>
      <c r="B257" s="1" t="s">
        <v>45</v>
      </c>
      <c r="C257" s="1" t="s">
        <v>3</v>
      </c>
      <c r="D257" s="1">
        <v>133154</v>
      </c>
      <c r="E257" s="3">
        <v>22864.66</v>
      </c>
      <c r="F257" s="1" t="s">
        <v>9</v>
      </c>
      <c r="G257" s="1" t="str">
        <f>Formula_Unique_Values!K256</f>
        <v/>
      </c>
      <c r="H257" s="3">
        <f>SUMIFS(Table1[Value],Table1[Outlets],G257)</f>
        <v>0</v>
      </c>
      <c r="I257" s="1" t="str">
        <f>IFERROR(VLOOKUP(G257,Table1[[Outlets]:[Region]],2,0),"")</f>
        <v/>
      </c>
    </row>
    <row r="258" spans="1:9" x14ac:dyDescent="0.2">
      <c r="A258" s="2">
        <v>44757</v>
      </c>
      <c r="B258" s="1" t="s">
        <v>71</v>
      </c>
      <c r="C258" s="1" t="s">
        <v>3</v>
      </c>
      <c r="D258" s="1">
        <v>133157</v>
      </c>
      <c r="E258" s="3">
        <v>85499.97</v>
      </c>
      <c r="F258" s="1" t="s">
        <v>8</v>
      </c>
      <c r="G258" s="1" t="str">
        <f>Formula_Unique_Values!K257</f>
        <v/>
      </c>
      <c r="H258" s="3">
        <f>SUMIFS(Table1[Value],Table1[Outlets],G258)</f>
        <v>0</v>
      </c>
      <c r="I258" s="1" t="str">
        <f>IFERROR(VLOOKUP(G258,Table1[[Outlets]:[Region]],2,0),"")</f>
        <v/>
      </c>
    </row>
    <row r="259" spans="1:9" x14ac:dyDescent="0.2">
      <c r="A259" s="2">
        <v>44757</v>
      </c>
      <c r="B259" s="1" t="s">
        <v>47</v>
      </c>
      <c r="C259" s="1" t="s">
        <v>3</v>
      </c>
      <c r="D259" s="1">
        <v>133159</v>
      </c>
      <c r="E259" s="3">
        <v>77669.899999999994</v>
      </c>
      <c r="F259" s="1" t="s">
        <v>9</v>
      </c>
      <c r="G259" s="1" t="str">
        <f>Formula_Unique_Values!K258</f>
        <v/>
      </c>
      <c r="H259" s="3">
        <f>SUMIFS(Table1[Value],Table1[Outlets],G259)</f>
        <v>0</v>
      </c>
      <c r="I259" s="1" t="str">
        <f>IFERROR(VLOOKUP(G259,Table1[[Outlets]:[Region]],2,0),"")</f>
        <v/>
      </c>
    </row>
    <row r="260" spans="1:9" x14ac:dyDescent="0.2">
      <c r="A260" s="2">
        <v>44757</v>
      </c>
      <c r="B260" s="1" t="s">
        <v>127</v>
      </c>
      <c r="C260" s="1" t="s">
        <v>3</v>
      </c>
      <c r="D260" s="1">
        <v>133160</v>
      </c>
      <c r="E260" s="3">
        <v>19727.32</v>
      </c>
      <c r="F260" s="1" t="s">
        <v>9</v>
      </c>
      <c r="G260" s="1" t="str">
        <f>Formula_Unique_Values!K259</f>
        <v/>
      </c>
      <c r="H260" s="3">
        <f>SUMIFS(Table1[Value],Table1[Outlets],G260)</f>
        <v>0</v>
      </c>
      <c r="I260" s="1" t="str">
        <f>IFERROR(VLOOKUP(G260,Table1[[Outlets]:[Region]],2,0),"")</f>
        <v/>
      </c>
    </row>
    <row r="261" spans="1:9" x14ac:dyDescent="0.2">
      <c r="A261" s="2">
        <v>44757</v>
      </c>
      <c r="B261" s="1" t="s">
        <v>66</v>
      </c>
      <c r="C261" s="1" t="s">
        <v>3</v>
      </c>
      <c r="D261" s="1">
        <v>133161</v>
      </c>
      <c r="E261" s="3">
        <v>158117.47</v>
      </c>
      <c r="F261" s="1" t="s">
        <v>8</v>
      </c>
      <c r="G261" s="1" t="str">
        <f>Formula_Unique_Values!K260</f>
        <v/>
      </c>
      <c r="H261" s="3">
        <f>SUMIFS(Table1[Value],Table1[Outlets],G261)</f>
        <v>0</v>
      </c>
      <c r="I261" s="1" t="str">
        <f>IFERROR(VLOOKUP(G261,Table1[[Outlets]:[Region]],2,0),"")</f>
        <v/>
      </c>
    </row>
    <row r="262" spans="1:9" x14ac:dyDescent="0.2">
      <c r="A262" s="2">
        <v>44757</v>
      </c>
      <c r="B262" s="1" t="s">
        <v>40</v>
      </c>
      <c r="C262" s="1" t="s">
        <v>3</v>
      </c>
      <c r="D262" s="1">
        <v>133165</v>
      </c>
      <c r="E262" s="3">
        <v>23606.9</v>
      </c>
      <c r="F262" s="1" t="s">
        <v>11</v>
      </c>
      <c r="G262" s="1" t="str">
        <f>Formula_Unique_Values!K261</f>
        <v/>
      </c>
      <c r="H262" s="3">
        <f>SUMIFS(Table1[Value],Table1[Outlets],G262)</f>
        <v>0</v>
      </c>
      <c r="I262" s="1" t="str">
        <f>IFERROR(VLOOKUP(G262,Table1[[Outlets]:[Region]],2,0),"")</f>
        <v/>
      </c>
    </row>
    <row r="263" spans="1:9" x14ac:dyDescent="0.2">
      <c r="A263" s="2">
        <v>44757</v>
      </c>
      <c r="B263" s="1" t="s">
        <v>162</v>
      </c>
      <c r="C263" s="1" t="s">
        <v>253</v>
      </c>
      <c r="D263" s="1">
        <v>133167</v>
      </c>
      <c r="E263" s="3">
        <v>9412.49</v>
      </c>
      <c r="F263" s="1" t="s">
        <v>9</v>
      </c>
      <c r="G263" s="1" t="str">
        <f>Formula_Unique_Values!K262</f>
        <v/>
      </c>
      <c r="H263" s="3">
        <f>SUMIFS(Table1[Value],Table1[Outlets],G263)</f>
        <v>0</v>
      </c>
      <c r="I263" s="1" t="str">
        <f>IFERROR(VLOOKUP(G263,Table1[[Outlets]:[Region]],2,0),"")</f>
        <v/>
      </c>
    </row>
    <row r="264" spans="1:9" x14ac:dyDescent="0.2">
      <c r="A264" s="2">
        <v>44757</v>
      </c>
      <c r="B264" s="1" t="s">
        <v>82</v>
      </c>
      <c r="C264" s="1" t="s">
        <v>249</v>
      </c>
      <c r="D264" s="1">
        <v>133171</v>
      </c>
      <c r="E264" s="3">
        <v>87528.65</v>
      </c>
      <c r="F264" s="1" t="s">
        <v>11</v>
      </c>
      <c r="G264" s="1" t="str">
        <f>Formula_Unique_Values!K263</f>
        <v/>
      </c>
      <c r="H264" s="3">
        <f>SUMIFS(Table1[Value],Table1[Outlets],G264)</f>
        <v>0</v>
      </c>
      <c r="I264" s="1" t="str">
        <f>IFERROR(VLOOKUP(G264,Table1[[Outlets]:[Region]],2,0),"")</f>
        <v/>
      </c>
    </row>
    <row r="265" spans="1:9" x14ac:dyDescent="0.2">
      <c r="A265" s="2">
        <v>44757</v>
      </c>
      <c r="B265" s="1" t="s">
        <v>108</v>
      </c>
      <c r="C265" s="1" t="s">
        <v>3</v>
      </c>
      <c r="D265" s="1">
        <v>133172</v>
      </c>
      <c r="E265" s="3">
        <v>31686.02</v>
      </c>
      <c r="F265" s="1" t="s">
        <v>9</v>
      </c>
      <c r="G265" s="1" t="str">
        <f>Formula_Unique_Values!K264</f>
        <v/>
      </c>
      <c r="H265" s="3">
        <f>SUMIFS(Table1[Value],Table1[Outlets],G265)</f>
        <v>0</v>
      </c>
      <c r="I265" s="1" t="str">
        <f>IFERROR(VLOOKUP(G265,Table1[[Outlets]:[Region]],2,0),"")</f>
        <v/>
      </c>
    </row>
    <row r="266" spans="1:9" x14ac:dyDescent="0.2">
      <c r="A266" s="2">
        <v>44757</v>
      </c>
      <c r="B266" s="1" t="s">
        <v>70</v>
      </c>
      <c r="C266" s="1" t="s">
        <v>3</v>
      </c>
      <c r="D266" s="1">
        <v>133173</v>
      </c>
      <c r="E266" s="3">
        <v>214294.34</v>
      </c>
      <c r="F266" s="1" t="s">
        <v>8</v>
      </c>
      <c r="G266" s="1" t="str">
        <f>Formula_Unique_Values!K265</f>
        <v/>
      </c>
      <c r="H266" s="3">
        <f>SUMIFS(Table1[Value],Table1[Outlets],G266)</f>
        <v>0</v>
      </c>
      <c r="I266" s="1" t="str">
        <f>IFERROR(VLOOKUP(G266,Table1[[Outlets]:[Region]],2,0),"")</f>
        <v/>
      </c>
    </row>
    <row r="267" spans="1:9" x14ac:dyDescent="0.2">
      <c r="A267" s="2">
        <v>44757</v>
      </c>
      <c r="B267" s="1" t="s">
        <v>36</v>
      </c>
      <c r="C267" s="1" t="s">
        <v>3</v>
      </c>
      <c r="D267" s="1">
        <v>133203</v>
      </c>
      <c r="E267" s="3">
        <v>88390.76</v>
      </c>
      <c r="F267" s="1" t="s">
        <v>4</v>
      </c>
      <c r="G267" s="1" t="str">
        <f>Formula_Unique_Values!K266</f>
        <v/>
      </c>
      <c r="H267" s="3">
        <f>SUMIFS(Table1[Value],Table1[Outlets],G267)</f>
        <v>0</v>
      </c>
      <c r="I267" s="1" t="str">
        <f>IFERROR(VLOOKUP(G267,Table1[[Outlets]:[Region]],2,0),"")</f>
        <v/>
      </c>
    </row>
    <row r="268" spans="1:9" x14ac:dyDescent="0.2">
      <c r="A268" s="2">
        <v>44757</v>
      </c>
      <c r="B268" s="1" t="s">
        <v>28</v>
      </c>
      <c r="C268" s="1" t="s">
        <v>3</v>
      </c>
      <c r="D268" s="1">
        <v>133204</v>
      </c>
      <c r="E268" s="3">
        <v>182655.44</v>
      </c>
      <c r="F268" s="1" t="s">
        <v>4</v>
      </c>
      <c r="G268" s="1" t="str">
        <f>Formula_Unique_Values!K267</f>
        <v/>
      </c>
      <c r="H268" s="3">
        <f>SUMIFS(Table1[Value],Table1[Outlets],G268)</f>
        <v>0</v>
      </c>
      <c r="I268" s="1" t="str">
        <f>IFERROR(VLOOKUP(G268,Table1[[Outlets]:[Region]],2,0),"")</f>
        <v/>
      </c>
    </row>
    <row r="269" spans="1:9" x14ac:dyDescent="0.2">
      <c r="A269" s="2">
        <v>44757</v>
      </c>
      <c r="B269" s="1" t="s">
        <v>38</v>
      </c>
      <c r="C269" s="1" t="s">
        <v>3</v>
      </c>
      <c r="D269" s="1">
        <v>133205</v>
      </c>
      <c r="E269" s="3">
        <v>42121.3</v>
      </c>
      <c r="F269" s="1" t="s">
        <v>4</v>
      </c>
      <c r="G269" s="1" t="str">
        <f>Formula_Unique_Values!K268</f>
        <v/>
      </c>
      <c r="H269" s="3">
        <f>SUMIFS(Table1[Value],Table1[Outlets],G269)</f>
        <v>0</v>
      </c>
      <c r="I269" s="1" t="str">
        <f>IFERROR(VLOOKUP(G269,Table1[[Outlets]:[Region]],2,0),"")</f>
        <v/>
      </c>
    </row>
    <row r="270" spans="1:9" x14ac:dyDescent="0.2">
      <c r="A270" s="2">
        <v>44757</v>
      </c>
      <c r="B270" s="1" t="s">
        <v>90</v>
      </c>
      <c r="C270" s="1" t="s">
        <v>251</v>
      </c>
      <c r="D270" s="1">
        <v>133207</v>
      </c>
      <c r="E270" s="3">
        <v>21316.81</v>
      </c>
      <c r="F270" s="1" t="s">
        <v>9</v>
      </c>
      <c r="G270" s="1" t="str">
        <f>Formula_Unique_Values!K269</f>
        <v/>
      </c>
      <c r="H270" s="3">
        <f>SUMIFS(Table1[Value],Table1[Outlets],G270)</f>
        <v>0</v>
      </c>
      <c r="I270" s="1" t="str">
        <f>IFERROR(VLOOKUP(G270,Table1[[Outlets]:[Region]],2,0),"")</f>
        <v/>
      </c>
    </row>
    <row r="271" spans="1:9" x14ac:dyDescent="0.2">
      <c r="A271" s="2">
        <v>44758</v>
      </c>
      <c r="B271" s="1" t="s">
        <v>52</v>
      </c>
      <c r="C271" s="1" t="s">
        <v>3</v>
      </c>
      <c r="D271" s="1">
        <v>133216</v>
      </c>
      <c r="E271" s="3">
        <v>17484.32</v>
      </c>
      <c r="F271" s="1" t="s">
        <v>11</v>
      </c>
      <c r="G271" s="1" t="str">
        <f>Formula_Unique_Values!K270</f>
        <v/>
      </c>
      <c r="H271" s="3">
        <f>SUMIFS(Table1[Value],Table1[Outlets],G271)</f>
        <v>0</v>
      </c>
      <c r="I271" s="1" t="str">
        <f>IFERROR(VLOOKUP(G271,Table1[[Outlets]:[Region]],2,0),"")</f>
        <v/>
      </c>
    </row>
    <row r="272" spans="1:9" x14ac:dyDescent="0.2">
      <c r="A272" s="2">
        <v>44758</v>
      </c>
      <c r="B272" s="1" t="s">
        <v>83</v>
      </c>
      <c r="C272" s="1" t="s">
        <v>3</v>
      </c>
      <c r="D272" s="1">
        <v>133218</v>
      </c>
      <c r="E272" s="3">
        <v>9766.07</v>
      </c>
      <c r="F272" s="1" t="s">
        <v>5</v>
      </c>
      <c r="G272" s="1" t="str">
        <f>Formula_Unique_Values!K271</f>
        <v/>
      </c>
      <c r="H272" s="3">
        <f>SUMIFS(Table1[Value],Table1[Outlets],G272)</f>
        <v>0</v>
      </c>
      <c r="I272" s="1" t="str">
        <f>IFERROR(VLOOKUP(G272,Table1[[Outlets]:[Region]],2,0),"")</f>
        <v/>
      </c>
    </row>
    <row r="273" spans="1:9" x14ac:dyDescent="0.2">
      <c r="A273" s="2">
        <v>44758</v>
      </c>
      <c r="B273" s="1" t="s">
        <v>198</v>
      </c>
      <c r="C273" s="1" t="s">
        <v>251</v>
      </c>
      <c r="D273" s="1">
        <v>133219</v>
      </c>
      <c r="E273" s="3">
        <v>21687.3</v>
      </c>
      <c r="F273" s="1" t="s">
        <v>5</v>
      </c>
      <c r="G273" s="1" t="str">
        <f>Formula_Unique_Values!K272</f>
        <v/>
      </c>
      <c r="H273" s="3">
        <f>SUMIFS(Table1[Value],Table1[Outlets],G273)</f>
        <v>0</v>
      </c>
      <c r="I273" s="1" t="str">
        <f>IFERROR(VLOOKUP(G273,Table1[[Outlets]:[Region]],2,0),"")</f>
        <v/>
      </c>
    </row>
    <row r="274" spans="1:9" x14ac:dyDescent="0.2">
      <c r="A274" s="2">
        <v>44758</v>
      </c>
      <c r="B274" s="1" t="s">
        <v>133</v>
      </c>
      <c r="C274" s="1" t="s">
        <v>3</v>
      </c>
      <c r="D274" s="1">
        <v>133220</v>
      </c>
      <c r="E274" s="3">
        <v>38352.93</v>
      </c>
      <c r="F274" s="1" t="s">
        <v>9</v>
      </c>
      <c r="G274" s="1" t="str">
        <f>Formula_Unique_Values!K273</f>
        <v/>
      </c>
      <c r="H274" s="3">
        <f>SUMIFS(Table1[Value],Table1[Outlets],G274)</f>
        <v>0</v>
      </c>
      <c r="I274" s="1" t="str">
        <f>IFERROR(VLOOKUP(G274,Table1[[Outlets]:[Region]],2,0),"")</f>
        <v/>
      </c>
    </row>
    <row r="275" spans="1:9" x14ac:dyDescent="0.2">
      <c r="A275" s="2">
        <v>44758</v>
      </c>
      <c r="B275" s="1" t="s">
        <v>124</v>
      </c>
      <c r="C275" s="1" t="s">
        <v>3</v>
      </c>
      <c r="D275" s="1">
        <v>133221</v>
      </c>
      <c r="E275" s="3">
        <v>8534.49</v>
      </c>
      <c r="F275" s="1" t="s">
        <v>11</v>
      </c>
      <c r="G275" s="1" t="str">
        <f>Formula_Unique_Values!K274</f>
        <v/>
      </c>
      <c r="H275" s="3">
        <f>SUMIFS(Table1[Value],Table1[Outlets],G275)</f>
        <v>0</v>
      </c>
      <c r="I275" s="1" t="str">
        <f>IFERROR(VLOOKUP(G275,Table1[[Outlets]:[Region]],2,0),"")</f>
        <v/>
      </c>
    </row>
    <row r="276" spans="1:9" x14ac:dyDescent="0.2">
      <c r="A276" s="2">
        <v>44758</v>
      </c>
      <c r="B276" s="1" t="s">
        <v>199</v>
      </c>
      <c r="C276" s="1" t="s">
        <v>3</v>
      </c>
      <c r="D276" s="1">
        <v>133222</v>
      </c>
      <c r="E276" s="3">
        <v>28695.27</v>
      </c>
      <c r="F276" s="1" t="s">
        <v>11</v>
      </c>
      <c r="G276" s="1" t="str">
        <f>Formula_Unique_Values!K275</f>
        <v/>
      </c>
      <c r="H276" s="3">
        <f>SUMIFS(Table1[Value],Table1[Outlets],G276)</f>
        <v>0</v>
      </c>
      <c r="I276" s="1" t="str">
        <f>IFERROR(VLOOKUP(G276,Table1[[Outlets]:[Region]],2,0),"")</f>
        <v/>
      </c>
    </row>
    <row r="277" spans="1:9" x14ac:dyDescent="0.2">
      <c r="A277" s="2">
        <v>44758</v>
      </c>
      <c r="B277" s="1" t="s">
        <v>141</v>
      </c>
      <c r="C277" s="1" t="s">
        <v>3</v>
      </c>
      <c r="D277" s="1">
        <v>133223</v>
      </c>
      <c r="E277" s="3">
        <v>34622.839999999997</v>
      </c>
      <c r="F277" s="1" t="s">
        <v>11</v>
      </c>
      <c r="G277" s="1" t="str">
        <f>Formula_Unique_Values!K276</f>
        <v/>
      </c>
      <c r="H277" s="3">
        <f>SUMIFS(Table1[Value],Table1[Outlets],G277)</f>
        <v>0</v>
      </c>
      <c r="I277" s="1" t="str">
        <f>IFERROR(VLOOKUP(G277,Table1[[Outlets]:[Region]],2,0),"")</f>
        <v/>
      </c>
    </row>
    <row r="278" spans="1:9" x14ac:dyDescent="0.2">
      <c r="A278" s="2">
        <v>44758</v>
      </c>
      <c r="B278" s="1" t="s">
        <v>200</v>
      </c>
      <c r="C278" s="1" t="s">
        <v>3</v>
      </c>
      <c r="D278" s="1">
        <v>133224</v>
      </c>
      <c r="E278" s="3">
        <v>4170.2700000000004</v>
      </c>
      <c r="F278" s="1" t="s">
        <v>11</v>
      </c>
      <c r="G278" s="1" t="str">
        <f>Formula_Unique_Values!K277</f>
        <v/>
      </c>
      <c r="H278" s="3">
        <f>SUMIFS(Table1[Value],Table1[Outlets],G278)</f>
        <v>0</v>
      </c>
      <c r="I278" s="1" t="str">
        <f>IFERROR(VLOOKUP(G278,Table1[[Outlets]:[Region]],2,0),"")</f>
        <v/>
      </c>
    </row>
    <row r="279" spans="1:9" x14ac:dyDescent="0.2">
      <c r="A279" s="2">
        <v>44758</v>
      </c>
      <c r="B279" s="1" t="s">
        <v>25</v>
      </c>
      <c r="C279" s="1" t="s">
        <v>3</v>
      </c>
      <c r="D279" s="1">
        <v>133230</v>
      </c>
      <c r="E279" s="3">
        <v>230455.42</v>
      </c>
      <c r="F279" s="1" t="s">
        <v>8</v>
      </c>
      <c r="G279" s="1" t="str">
        <f>Formula_Unique_Values!K278</f>
        <v/>
      </c>
      <c r="H279" s="3">
        <f>SUMIFS(Table1[Value],Table1[Outlets],G279)</f>
        <v>0</v>
      </c>
      <c r="I279" s="1" t="str">
        <f>IFERROR(VLOOKUP(G279,Table1[[Outlets]:[Region]],2,0),"")</f>
        <v/>
      </c>
    </row>
    <row r="280" spans="1:9" x14ac:dyDescent="0.2">
      <c r="A280" s="2">
        <v>44758</v>
      </c>
      <c r="B280" s="1" t="s">
        <v>201</v>
      </c>
      <c r="C280" s="1" t="s">
        <v>250</v>
      </c>
      <c r="D280" s="1">
        <v>133235</v>
      </c>
      <c r="E280" s="3">
        <v>69824.100000000006</v>
      </c>
      <c r="F280" s="1" t="s">
        <v>11</v>
      </c>
      <c r="G280" s="1" t="str">
        <f>Formula_Unique_Values!K279</f>
        <v/>
      </c>
      <c r="H280" s="3">
        <f>SUMIFS(Table1[Value],Table1[Outlets],G280)</f>
        <v>0</v>
      </c>
      <c r="I280" s="1" t="str">
        <f>IFERROR(VLOOKUP(G280,Table1[[Outlets]:[Region]],2,0),"")</f>
        <v/>
      </c>
    </row>
    <row r="281" spans="1:9" x14ac:dyDescent="0.2">
      <c r="A281" s="2">
        <v>44758</v>
      </c>
      <c r="B281" s="1" t="s">
        <v>236</v>
      </c>
      <c r="C281" s="1" t="s">
        <v>250</v>
      </c>
      <c r="D281" s="1">
        <v>133236</v>
      </c>
      <c r="E281" s="3">
        <v>15949.14</v>
      </c>
      <c r="F281" s="1" t="s">
        <v>9</v>
      </c>
      <c r="G281" s="1" t="str">
        <f>Formula_Unique_Values!K280</f>
        <v/>
      </c>
      <c r="H281" s="3">
        <f>SUMIFS(Table1[Value],Table1[Outlets],G281)</f>
        <v>0</v>
      </c>
      <c r="I281" s="1" t="str">
        <f>IFERROR(VLOOKUP(G281,Table1[[Outlets]:[Region]],2,0),"")</f>
        <v/>
      </c>
    </row>
    <row r="282" spans="1:9" x14ac:dyDescent="0.2">
      <c r="A282" s="2">
        <v>44758</v>
      </c>
      <c r="B282" s="1" t="s">
        <v>202</v>
      </c>
      <c r="C282" s="1" t="s">
        <v>250</v>
      </c>
      <c r="D282" s="1">
        <v>133237</v>
      </c>
      <c r="E282" s="3">
        <v>166184.92000000001</v>
      </c>
      <c r="F282" s="1" t="s">
        <v>4</v>
      </c>
      <c r="G282" s="1" t="str">
        <f>Formula_Unique_Values!K281</f>
        <v/>
      </c>
      <c r="H282" s="3">
        <f>SUMIFS(Table1[Value],Table1[Outlets],G282)</f>
        <v>0</v>
      </c>
      <c r="I282" s="1" t="str">
        <f>IFERROR(VLOOKUP(G282,Table1[[Outlets]:[Region]],2,0),"")</f>
        <v/>
      </c>
    </row>
    <row r="283" spans="1:9" x14ac:dyDescent="0.2">
      <c r="A283" s="2">
        <v>44758</v>
      </c>
      <c r="B283" s="1" t="s">
        <v>203</v>
      </c>
      <c r="C283" s="1" t="s">
        <v>3</v>
      </c>
      <c r="D283" s="1">
        <v>133241</v>
      </c>
      <c r="E283" s="3">
        <v>586802.57999999996</v>
      </c>
      <c r="F283" s="1" t="s">
        <v>17</v>
      </c>
      <c r="G283" s="1" t="str">
        <f>Formula_Unique_Values!K282</f>
        <v/>
      </c>
      <c r="H283" s="3">
        <f>SUMIFS(Table1[Value],Table1[Outlets],G283)</f>
        <v>0</v>
      </c>
      <c r="I283" s="1" t="str">
        <f>IFERROR(VLOOKUP(G283,Table1[[Outlets]:[Region]],2,0),"")</f>
        <v/>
      </c>
    </row>
    <row r="284" spans="1:9" x14ac:dyDescent="0.2">
      <c r="A284" s="2">
        <v>44758</v>
      </c>
      <c r="B284" s="1" t="s">
        <v>150</v>
      </c>
      <c r="C284" s="1" t="s">
        <v>250</v>
      </c>
      <c r="D284" s="1">
        <v>133242</v>
      </c>
      <c r="E284" s="3">
        <v>7929</v>
      </c>
      <c r="F284" s="1" t="s">
        <v>8</v>
      </c>
      <c r="G284" s="1" t="str">
        <f>Formula_Unique_Values!K283</f>
        <v/>
      </c>
      <c r="H284" s="3">
        <f>SUMIFS(Table1[Value],Table1[Outlets],G284)</f>
        <v>0</v>
      </c>
      <c r="I284" s="1" t="str">
        <f>IFERROR(VLOOKUP(G284,Table1[[Outlets]:[Region]],2,0),"")</f>
        <v/>
      </c>
    </row>
    <row r="285" spans="1:9" x14ac:dyDescent="0.2">
      <c r="A285" s="2">
        <v>44758</v>
      </c>
      <c r="B285" s="1" t="s">
        <v>150</v>
      </c>
      <c r="C285" s="1" t="s">
        <v>250</v>
      </c>
      <c r="D285" s="1">
        <v>133243</v>
      </c>
      <c r="E285" s="3">
        <v>18156.43</v>
      </c>
      <c r="F285" s="1" t="s">
        <v>8</v>
      </c>
      <c r="G285" s="1" t="str">
        <f>Formula_Unique_Values!K284</f>
        <v/>
      </c>
      <c r="H285" s="3">
        <f>SUMIFS(Table1[Value],Table1[Outlets],G285)</f>
        <v>0</v>
      </c>
      <c r="I285" s="1" t="str">
        <f>IFERROR(VLOOKUP(G285,Table1[[Outlets]:[Region]],2,0),"")</f>
        <v/>
      </c>
    </row>
    <row r="286" spans="1:9" x14ac:dyDescent="0.2">
      <c r="A286" s="2">
        <v>44758</v>
      </c>
      <c r="B286" s="1" t="s">
        <v>228</v>
      </c>
      <c r="C286" s="1" t="s">
        <v>250</v>
      </c>
      <c r="D286" s="1">
        <v>133244</v>
      </c>
      <c r="E286" s="3">
        <v>1050</v>
      </c>
      <c r="F286" s="1" t="s">
        <v>8</v>
      </c>
      <c r="G286" s="1" t="str">
        <f>Formula_Unique_Values!K285</f>
        <v/>
      </c>
      <c r="H286" s="3">
        <f>SUMIFS(Table1[Value],Table1[Outlets],G286)</f>
        <v>0</v>
      </c>
      <c r="I286" s="1" t="str">
        <f>IFERROR(VLOOKUP(G286,Table1[[Outlets]:[Region]],2,0),"")</f>
        <v/>
      </c>
    </row>
    <row r="287" spans="1:9" x14ac:dyDescent="0.2">
      <c r="A287" s="2">
        <v>44758</v>
      </c>
      <c r="B287" s="1" t="s">
        <v>204</v>
      </c>
      <c r="C287" s="1" t="s">
        <v>3</v>
      </c>
      <c r="D287" s="1">
        <v>133246</v>
      </c>
      <c r="E287" s="3">
        <v>16060.37</v>
      </c>
      <c r="F287" s="1" t="s">
        <v>11</v>
      </c>
      <c r="G287" s="1" t="str">
        <f>Formula_Unique_Values!K286</f>
        <v/>
      </c>
      <c r="H287" s="3">
        <f>SUMIFS(Table1[Value],Table1[Outlets],G287)</f>
        <v>0</v>
      </c>
      <c r="I287" s="1" t="str">
        <f>IFERROR(VLOOKUP(G287,Table1[[Outlets]:[Region]],2,0),"")</f>
        <v/>
      </c>
    </row>
    <row r="288" spans="1:9" x14ac:dyDescent="0.2">
      <c r="A288" s="2">
        <v>44760</v>
      </c>
      <c r="B288" s="1" t="s">
        <v>76</v>
      </c>
      <c r="C288" s="1" t="s">
        <v>249</v>
      </c>
      <c r="D288" s="1">
        <v>133260</v>
      </c>
      <c r="E288" s="3">
        <v>4824</v>
      </c>
      <c r="F288" s="1" t="s">
        <v>8</v>
      </c>
      <c r="G288" s="1" t="str">
        <f>Formula_Unique_Values!K287</f>
        <v/>
      </c>
      <c r="H288" s="3">
        <f>SUMIFS(Table1[Value],Table1[Outlets],G288)</f>
        <v>0</v>
      </c>
      <c r="I288" s="1" t="str">
        <f>IFERROR(VLOOKUP(G288,Table1[[Outlets]:[Region]],2,0),"")</f>
        <v/>
      </c>
    </row>
    <row r="289" spans="1:9" x14ac:dyDescent="0.2">
      <c r="A289" s="2">
        <v>44760</v>
      </c>
      <c r="B289" s="1" t="s">
        <v>63</v>
      </c>
      <c r="C289" s="1" t="s">
        <v>3</v>
      </c>
      <c r="D289" s="1">
        <v>133261</v>
      </c>
      <c r="E289" s="3">
        <v>17185.5</v>
      </c>
      <c r="F289" s="1" t="s">
        <v>8</v>
      </c>
      <c r="G289" s="1" t="str">
        <f>Formula_Unique_Values!K288</f>
        <v/>
      </c>
      <c r="H289" s="3">
        <f>SUMIFS(Table1[Value],Table1[Outlets],G289)</f>
        <v>0</v>
      </c>
      <c r="I289" s="1" t="str">
        <f>IFERROR(VLOOKUP(G289,Table1[[Outlets]:[Region]],2,0),"")</f>
        <v/>
      </c>
    </row>
    <row r="290" spans="1:9" x14ac:dyDescent="0.2">
      <c r="A290" s="2">
        <v>44760</v>
      </c>
      <c r="B290" s="1" t="s">
        <v>205</v>
      </c>
      <c r="C290" s="1" t="s">
        <v>3</v>
      </c>
      <c r="D290" s="1">
        <v>133262</v>
      </c>
      <c r="E290" s="3">
        <v>8409.68</v>
      </c>
      <c r="F290" s="1" t="s">
        <v>5</v>
      </c>
      <c r="G290" s="1" t="str">
        <f>Formula_Unique_Values!K289</f>
        <v/>
      </c>
      <c r="H290" s="3">
        <f>SUMIFS(Table1[Value],Table1[Outlets],G290)</f>
        <v>0</v>
      </c>
      <c r="I290" s="1" t="str">
        <f>IFERROR(VLOOKUP(G290,Table1[[Outlets]:[Region]],2,0),"")</f>
        <v/>
      </c>
    </row>
    <row r="291" spans="1:9" x14ac:dyDescent="0.2">
      <c r="A291" s="2">
        <v>44760</v>
      </c>
      <c r="B291" s="1" t="s">
        <v>206</v>
      </c>
      <c r="C291" s="1" t="s">
        <v>3</v>
      </c>
      <c r="D291" s="1">
        <v>133263</v>
      </c>
      <c r="E291" s="3">
        <v>8888.9599999999991</v>
      </c>
      <c r="F291" s="1" t="s">
        <v>10</v>
      </c>
      <c r="G291" s="1" t="str">
        <f>Formula_Unique_Values!K290</f>
        <v/>
      </c>
      <c r="H291" s="3">
        <f>SUMIFS(Table1[Value],Table1[Outlets],G291)</f>
        <v>0</v>
      </c>
      <c r="I291" s="1" t="str">
        <f>IFERROR(VLOOKUP(G291,Table1[[Outlets]:[Region]],2,0),"")</f>
        <v/>
      </c>
    </row>
    <row r="292" spans="1:9" x14ac:dyDescent="0.2">
      <c r="A292" s="2">
        <v>44760</v>
      </c>
      <c r="B292" s="1" t="s">
        <v>146</v>
      </c>
      <c r="C292" s="1" t="s">
        <v>3</v>
      </c>
      <c r="D292" s="1">
        <v>133264</v>
      </c>
      <c r="E292" s="3">
        <v>3209.49</v>
      </c>
      <c r="F292" s="1" t="s">
        <v>11</v>
      </c>
      <c r="G292" s="1" t="str">
        <f>Formula_Unique_Values!K291</f>
        <v/>
      </c>
      <c r="H292" s="3">
        <f>SUMIFS(Table1[Value],Table1[Outlets],G292)</f>
        <v>0</v>
      </c>
      <c r="I292" s="1" t="str">
        <f>IFERROR(VLOOKUP(G292,Table1[[Outlets]:[Region]],2,0),"")</f>
        <v/>
      </c>
    </row>
    <row r="293" spans="1:9" x14ac:dyDescent="0.2">
      <c r="A293" s="2">
        <v>44760</v>
      </c>
      <c r="B293" s="1" t="s">
        <v>23</v>
      </c>
      <c r="C293" s="1" t="s">
        <v>3</v>
      </c>
      <c r="D293" s="1">
        <v>133265</v>
      </c>
      <c r="E293" s="3">
        <v>15575.46</v>
      </c>
      <c r="F293" s="1" t="s">
        <v>11</v>
      </c>
      <c r="G293" s="1" t="str">
        <f>Formula_Unique_Values!K292</f>
        <v/>
      </c>
      <c r="H293" s="3">
        <f>SUMIFS(Table1[Value],Table1[Outlets],G293)</f>
        <v>0</v>
      </c>
      <c r="I293" s="1" t="str">
        <f>IFERROR(VLOOKUP(G293,Table1[[Outlets]:[Region]],2,0),"")</f>
        <v/>
      </c>
    </row>
    <row r="294" spans="1:9" x14ac:dyDescent="0.2">
      <c r="A294" s="2">
        <v>44760</v>
      </c>
      <c r="B294" s="1" t="s">
        <v>207</v>
      </c>
      <c r="C294" s="1" t="s">
        <v>3</v>
      </c>
      <c r="D294" s="1">
        <v>133266</v>
      </c>
      <c r="E294" s="3">
        <v>21583.45</v>
      </c>
      <c r="F294" s="1" t="s">
        <v>11</v>
      </c>
      <c r="G294" s="1" t="str">
        <f>Formula_Unique_Values!K293</f>
        <v/>
      </c>
      <c r="H294" s="3">
        <f>SUMIFS(Table1[Value],Table1[Outlets],G294)</f>
        <v>0</v>
      </c>
      <c r="I294" s="1" t="str">
        <f>IFERROR(VLOOKUP(G294,Table1[[Outlets]:[Region]],2,0),"")</f>
        <v/>
      </c>
    </row>
    <row r="295" spans="1:9" x14ac:dyDescent="0.2">
      <c r="A295" s="2">
        <v>44760</v>
      </c>
      <c r="B295" s="1" t="s">
        <v>161</v>
      </c>
      <c r="C295" s="1" t="s">
        <v>3</v>
      </c>
      <c r="D295" s="1">
        <v>133267</v>
      </c>
      <c r="E295" s="3">
        <v>26261.63</v>
      </c>
      <c r="F295" s="1" t="s">
        <v>11</v>
      </c>
      <c r="G295" s="1" t="str">
        <f>Formula_Unique_Values!K294</f>
        <v/>
      </c>
      <c r="H295" s="3">
        <f>SUMIFS(Table1[Value],Table1[Outlets],G295)</f>
        <v>0</v>
      </c>
      <c r="I295" s="1" t="str">
        <f>IFERROR(VLOOKUP(G295,Table1[[Outlets]:[Region]],2,0),"")</f>
        <v/>
      </c>
    </row>
    <row r="296" spans="1:9" x14ac:dyDescent="0.2">
      <c r="A296" s="2">
        <v>44760</v>
      </c>
      <c r="B296" s="1" t="s">
        <v>49</v>
      </c>
      <c r="C296" s="1" t="s">
        <v>249</v>
      </c>
      <c r="D296" s="1">
        <v>133268</v>
      </c>
      <c r="E296" s="3">
        <v>241860.3</v>
      </c>
      <c r="F296" s="1" t="s">
        <v>11</v>
      </c>
      <c r="G296" s="1" t="str">
        <f>Formula_Unique_Values!K295</f>
        <v/>
      </c>
      <c r="H296" s="3">
        <f>SUMIFS(Table1[Value],Table1[Outlets],G296)</f>
        <v>0</v>
      </c>
      <c r="I296" s="1" t="str">
        <f>IFERROR(VLOOKUP(G296,Table1[[Outlets]:[Region]],2,0),"")</f>
        <v/>
      </c>
    </row>
    <row r="297" spans="1:9" x14ac:dyDescent="0.2">
      <c r="A297" s="2">
        <v>44760</v>
      </c>
      <c r="B297" s="1" t="s">
        <v>137</v>
      </c>
      <c r="C297" s="1" t="s">
        <v>3</v>
      </c>
      <c r="D297" s="1">
        <v>133269</v>
      </c>
      <c r="E297" s="3">
        <v>14043.09</v>
      </c>
      <c r="F297" s="1" t="s">
        <v>11</v>
      </c>
      <c r="G297" s="1" t="str">
        <f>Formula_Unique_Values!K296</f>
        <v/>
      </c>
      <c r="H297" s="3">
        <f>SUMIFS(Table1[Value],Table1[Outlets],G297)</f>
        <v>0</v>
      </c>
      <c r="I297" s="1" t="str">
        <f>IFERROR(VLOOKUP(G297,Table1[[Outlets]:[Region]],2,0),"")</f>
        <v/>
      </c>
    </row>
    <row r="298" spans="1:9" x14ac:dyDescent="0.2">
      <c r="A298" s="2">
        <v>44760</v>
      </c>
      <c r="B298" s="1" t="s">
        <v>115</v>
      </c>
      <c r="C298" s="1" t="s">
        <v>3</v>
      </c>
      <c r="D298" s="1">
        <v>133270</v>
      </c>
      <c r="E298" s="3">
        <v>17515.09</v>
      </c>
      <c r="F298" s="1" t="s">
        <v>11</v>
      </c>
      <c r="G298" s="1" t="str">
        <f>Formula_Unique_Values!K297</f>
        <v/>
      </c>
      <c r="H298" s="3">
        <f>SUMIFS(Table1[Value],Table1[Outlets],G298)</f>
        <v>0</v>
      </c>
      <c r="I298" s="1" t="str">
        <f>IFERROR(VLOOKUP(G298,Table1[[Outlets]:[Region]],2,0),"")</f>
        <v/>
      </c>
    </row>
    <row r="299" spans="1:9" x14ac:dyDescent="0.2">
      <c r="A299" s="2">
        <v>44760</v>
      </c>
      <c r="B299" s="1" t="s">
        <v>60</v>
      </c>
      <c r="C299" s="1" t="s">
        <v>3</v>
      </c>
      <c r="D299" s="1">
        <v>133271</v>
      </c>
      <c r="E299" s="3">
        <v>16219.92</v>
      </c>
      <c r="F299" s="1" t="s">
        <v>4</v>
      </c>
      <c r="G299" s="1" t="str">
        <f>Formula_Unique_Values!K298</f>
        <v/>
      </c>
      <c r="H299" s="3">
        <f>SUMIFS(Table1[Value],Table1[Outlets],G299)</f>
        <v>0</v>
      </c>
      <c r="I299" s="1" t="str">
        <f>IFERROR(VLOOKUP(G299,Table1[[Outlets]:[Region]],2,0),"")</f>
        <v/>
      </c>
    </row>
    <row r="300" spans="1:9" x14ac:dyDescent="0.2">
      <c r="A300" s="2">
        <v>44760</v>
      </c>
      <c r="B300" s="1" t="s">
        <v>208</v>
      </c>
      <c r="C300" s="1" t="s">
        <v>249</v>
      </c>
      <c r="D300" s="1">
        <v>133273</v>
      </c>
      <c r="E300" s="3">
        <v>51107.6</v>
      </c>
      <c r="F300" s="1" t="s">
        <v>11</v>
      </c>
      <c r="G300" s="1" t="str">
        <f>Formula_Unique_Values!K299</f>
        <v/>
      </c>
      <c r="H300" s="3">
        <f>SUMIFS(Table1[Value],Table1[Outlets],G300)</f>
        <v>0</v>
      </c>
      <c r="I300" s="1" t="str">
        <f>IFERROR(VLOOKUP(G300,Table1[[Outlets]:[Region]],2,0),"")</f>
        <v/>
      </c>
    </row>
    <row r="301" spans="1:9" x14ac:dyDescent="0.2">
      <c r="A301" s="2">
        <v>44760</v>
      </c>
      <c r="B301" s="1" t="s">
        <v>158</v>
      </c>
      <c r="C301" s="1" t="s">
        <v>3</v>
      </c>
      <c r="D301" s="1">
        <v>133274</v>
      </c>
      <c r="E301" s="3">
        <v>18749.060000000001</v>
      </c>
      <c r="F301" s="1" t="s">
        <v>11</v>
      </c>
      <c r="G301" s="1" t="str">
        <f>Formula_Unique_Values!K300</f>
        <v/>
      </c>
      <c r="H301" s="3">
        <f>SUMIFS(Table1[Value],Table1[Outlets],G301)</f>
        <v>0</v>
      </c>
      <c r="I301" s="1" t="str">
        <f>IFERROR(VLOOKUP(G301,Table1[[Outlets]:[Region]],2,0),"")</f>
        <v/>
      </c>
    </row>
    <row r="302" spans="1:9" x14ac:dyDescent="0.2">
      <c r="A302" s="2">
        <v>44760</v>
      </c>
      <c r="B302" s="1" t="s">
        <v>105</v>
      </c>
      <c r="C302" s="1" t="s">
        <v>3</v>
      </c>
      <c r="D302" s="1">
        <v>133275</v>
      </c>
      <c r="E302" s="3">
        <v>38733.949999999997</v>
      </c>
      <c r="F302" s="1" t="s">
        <v>9</v>
      </c>
      <c r="G302" s="1" t="str">
        <f>Formula_Unique_Values!K301</f>
        <v/>
      </c>
      <c r="H302" s="3">
        <f>SUMIFS(Table1[Value],Table1[Outlets],G302)</f>
        <v>0</v>
      </c>
      <c r="I302" s="1" t="str">
        <f>IFERROR(VLOOKUP(G302,Table1[[Outlets]:[Region]],2,0),"")</f>
        <v/>
      </c>
    </row>
    <row r="303" spans="1:9" x14ac:dyDescent="0.2">
      <c r="A303" s="2">
        <v>44760</v>
      </c>
      <c r="B303" s="1" t="s">
        <v>209</v>
      </c>
      <c r="C303" s="1" t="s">
        <v>3</v>
      </c>
      <c r="D303" s="1">
        <v>133277</v>
      </c>
      <c r="E303" s="3">
        <v>43765.41</v>
      </c>
      <c r="F303" s="1" t="s">
        <v>9</v>
      </c>
      <c r="G303" s="1" t="str">
        <f>Formula_Unique_Values!K302</f>
        <v/>
      </c>
      <c r="H303" s="3">
        <f>SUMIFS(Table1[Value],Table1[Outlets],G303)</f>
        <v>0</v>
      </c>
      <c r="I303" s="1" t="str">
        <f>IFERROR(VLOOKUP(G303,Table1[[Outlets]:[Region]],2,0),"")</f>
        <v/>
      </c>
    </row>
    <row r="304" spans="1:9" x14ac:dyDescent="0.2">
      <c r="A304" s="2">
        <v>44760</v>
      </c>
      <c r="B304" s="1" t="s">
        <v>134</v>
      </c>
      <c r="C304" s="1" t="s">
        <v>3</v>
      </c>
      <c r="D304" s="1">
        <v>133278</v>
      </c>
      <c r="E304" s="3">
        <v>72835.850000000006</v>
      </c>
      <c r="F304" s="1" t="s">
        <v>9</v>
      </c>
      <c r="G304" s="1" t="str">
        <f>Formula_Unique_Values!K303</f>
        <v/>
      </c>
      <c r="H304" s="3">
        <f>SUMIFS(Table1[Value],Table1[Outlets],G304)</f>
        <v>0</v>
      </c>
      <c r="I304" s="1" t="str">
        <f>IFERROR(VLOOKUP(G304,Table1[[Outlets]:[Region]],2,0),"")</f>
        <v/>
      </c>
    </row>
    <row r="305" spans="1:9" x14ac:dyDescent="0.2">
      <c r="A305" s="2">
        <v>44760</v>
      </c>
      <c r="B305" s="1" t="s">
        <v>56</v>
      </c>
      <c r="C305" s="1" t="s">
        <v>3</v>
      </c>
      <c r="D305" s="1">
        <v>133281</v>
      </c>
      <c r="E305" s="3">
        <v>109160.96000000001</v>
      </c>
      <c r="F305" s="1" t="s">
        <v>9</v>
      </c>
      <c r="G305" s="1" t="str">
        <f>Formula_Unique_Values!K304</f>
        <v/>
      </c>
      <c r="H305" s="3">
        <f>SUMIFS(Table1[Value],Table1[Outlets],G305)</f>
        <v>0</v>
      </c>
      <c r="I305" s="1" t="str">
        <f>IFERROR(VLOOKUP(G305,Table1[[Outlets]:[Region]],2,0),"")</f>
        <v/>
      </c>
    </row>
    <row r="306" spans="1:9" x14ac:dyDescent="0.2">
      <c r="A306" s="2">
        <v>44760</v>
      </c>
      <c r="B306" s="1" t="s">
        <v>153</v>
      </c>
      <c r="C306" s="1" t="s">
        <v>3</v>
      </c>
      <c r="D306" s="1">
        <v>133282</v>
      </c>
      <c r="E306" s="3">
        <v>70415.259999999995</v>
      </c>
      <c r="F306" s="1" t="s">
        <v>9</v>
      </c>
      <c r="G306" s="1" t="str">
        <f>Formula_Unique_Values!K305</f>
        <v/>
      </c>
      <c r="H306" s="3">
        <f>SUMIFS(Table1[Value],Table1[Outlets],G306)</f>
        <v>0</v>
      </c>
      <c r="I306" s="1" t="str">
        <f>IFERROR(VLOOKUP(G306,Table1[[Outlets]:[Region]],2,0),"")</f>
        <v/>
      </c>
    </row>
    <row r="307" spans="1:9" x14ac:dyDescent="0.2">
      <c r="A307" s="2">
        <v>44760</v>
      </c>
      <c r="B307" s="1" t="s">
        <v>210</v>
      </c>
      <c r="C307" s="1" t="s">
        <v>250</v>
      </c>
      <c r="D307" s="1">
        <v>133283</v>
      </c>
      <c r="E307" s="3">
        <v>29444.22</v>
      </c>
      <c r="F307" s="1" t="s">
        <v>9</v>
      </c>
      <c r="G307" s="1" t="str">
        <f>Formula_Unique_Values!K306</f>
        <v/>
      </c>
      <c r="H307" s="3">
        <f>SUMIFS(Table1[Value],Table1[Outlets],G307)</f>
        <v>0</v>
      </c>
      <c r="I307" s="1" t="str">
        <f>IFERROR(VLOOKUP(G307,Table1[[Outlets]:[Region]],2,0),"")</f>
        <v/>
      </c>
    </row>
    <row r="308" spans="1:9" x14ac:dyDescent="0.2">
      <c r="A308" s="2">
        <v>44760</v>
      </c>
      <c r="B308" s="1" t="s">
        <v>211</v>
      </c>
      <c r="C308" s="1" t="s">
        <v>251</v>
      </c>
      <c r="D308" s="1">
        <v>133287</v>
      </c>
      <c r="E308" s="3">
        <v>43602.97</v>
      </c>
      <c r="F308" s="1" t="s">
        <v>11</v>
      </c>
      <c r="G308" s="1" t="str">
        <f>Formula_Unique_Values!K307</f>
        <v/>
      </c>
      <c r="H308" s="3">
        <f>SUMIFS(Table1[Value],Table1[Outlets],G308)</f>
        <v>0</v>
      </c>
      <c r="I308" s="1" t="str">
        <f>IFERROR(VLOOKUP(G308,Table1[[Outlets]:[Region]],2,0),"")</f>
        <v/>
      </c>
    </row>
    <row r="309" spans="1:9" x14ac:dyDescent="0.2">
      <c r="A309" s="2">
        <v>44760</v>
      </c>
      <c r="B309" s="1" t="s">
        <v>74</v>
      </c>
      <c r="C309" s="1" t="s">
        <v>3</v>
      </c>
      <c r="D309" s="1">
        <v>133292</v>
      </c>
      <c r="E309" s="3">
        <v>24095.69</v>
      </c>
      <c r="F309" s="1" t="s">
        <v>13</v>
      </c>
      <c r="G309" s="1" t="str">
        <f>Formula_Unique_Values!K308</f>
        <v/>
      </c>
      <c r="H309" s="3">
        <f>SUMIFS(Table1[Value],Table1[Outlets],G309)</f>
        <v>0</v>
      </c>
      <c r="I309" s="1" t="str">
        <f>IFERROR(VLOOKUP(G309,Table1[[Outlets]:[Region]],2,0),"")</f>
        <v/>
      </c>
    </row>
    <row r="310" spans="1:9" x14ac:dyDescent="0.2">
      <c r="A310" s="2">
        <v>44760</v>
      </c>
      <c r="B310" s="1" t="s">
        <v>116</v>
      </c>
      <c r="C310" s="1" t="s">
        <v>3</v>
      </c>
      <c r="D310" s="1">
        <v>133297</v>
      </c>
      <c r="E310" s="3">
        <v>10450.290000000001</v>
      </c>
      <c r="F310" s="1" t="s">
        <v>15</v>
      </c>
      <c r="G310" s="1" t="str">
        <f>Formula_Unique_Values!K309</f>
        <v/>
      </c>
      <c r="H310" s="3">
        <f>SUMIFS(Table1[Value],Table1[Outlets],G310)</f>
        <v>0</v>
      </c>
      <c r="I310" s="1" t="str">
        <f>IFERROR(VLOOKUP(G310,Table1[[Outlets]:[Region]],2,0),"")</f>
        <v/>
      </c>
    </row>
    <row r="311" spans="1:9" x14ac:dyDescent="0.2">
      <c r="A311" s="2">
        <v>44760</v>
      </c>
      <c r="B311" s="1" t="s">
        <v>212</v>
      </c>
      <c r="C311" s="1" t="s">
        <v>254</v>
      </c>
      <c r="D311" s="1">
        <v>133298</v>
      </c>
      <c r="E311" s="3">
        <v>56489.15</v>
      </c>
      <c r="F311" s="1" t="s">
        <v>4</v>
      </c>
      <c r="G311" s="1" t="str">
        <f>Formula_Unique_Values!K310</f>
        <v/>
      </c>
      <c r="H311" s="3">
        <f>SUMIFS(Table1[Value],Table1[Outlets],G311)</f>
        <v>0</v>
      </c>
      <c r="I311" s="1" t="str">
        <f>IFERROR(VLOOKUP(G311,Table1[[Outlets]:[Region]],2,0),"")</f>
        <v/>
      </c>
    </row>
    <row r="312" spans="1:9" x14ac:dyDescent="0.2">
      <c r="A312" s="2">
        <v>44760</v>
      </c>
      <c r="B312" s="1" t="s">
        <v>43</v>
      </c>
      <c r="C312" s="1" t="s">
        <v>3</v>
      </c>
      <c r="D312" s="1">
        <v>133299</v>
      </c>
      <c r="E312" s="3">
        <v>24105.61</v>
      </c>
      <c r="F312" s="1" t="s">
        <v>9</v>
      </c>
      <c r="G312" s="1" t="str">
        <f>Formula_Unique_Values!K311</f>
        <v/>
      </c>
      <c r="H312" s="3">
        <f>SUMIFS(Table1[Value],Table1[Outlets],G312)</f>
        <v>0</v>
      </c>
      <c r="I312" s="1" t="str">
        <f>IFERROR(VLOOKUP(G312,Table1[[Outlets]:[Region]],2,0),"")</f>
        <v/>
      </c>
    </row>
    <row r="313" spans="1:9" x14ac:dyDescent="0.2">
      <c r="A313" s="2">
        <v>44760</v>
      </c>
      <c r="B313" s="1" t="s">
        <v>73</v>
      </c>
      <c r="C313" s="1" t="s">
        <v>3</v>
      </c>
      <c r="D313" s="1">
        <v>133300</v>
      </c>
      <c r="E313" s="3">
        <v>12373.36</v>
      </c>
      <c r="F313" s="1" t="s">
        <v>13</v>
      </c>
      <c r="G313" s="1" t="str">
        <f>Formula_Unique_Values!K312</f>
        <v/>
      </c>
      <c r="H313" s="3">
        <f>SUMIFS(Table1[Value],Table1[Outlets],G313)</f>
        <v>0</v>
      </c>
      <c r="I313" s="1" t="str">
        <f>IFERROR(VLOOKUP(G313,Table1[[Outlets]:[Region]],2,0),"")</f>
        <v/>
      </c>
    </row>
    <row r="314" spans="1:9" x14ac:dyDescent="0.2">
      <c r="A314" s="2">
        <v>44760</v>
      </c>
      <c r="B314" s="1" t="s">
        <v>94</v>
      </c>
      <c r="C314" s="1" t="s">
        <v>3</v>
      </c>
      <c r="D314" s="1">
        <v>133303</v>
      </c>
      <c r="E314" s="3">
        <v>22674.560000000001</v>
      </c>
      <c r="F314" s="1" t="s">
        <v>9</v>
      </c>
      <c r="G314" s="1" t="str">
        <f>Formula_Unique_Values!K313</f>
        <v/>
      </c>
      <c r="H314" s="3">
        <f>SUMIFS(Table1[Value],Table1[Outlets],G314)</f>
        <v>0</v>
      </c>
      <c r="I314" s="1" t="str">
        <f>IFERROR(VLOOKUP(G314,Table1[[Outlets]:[Region]],2,0),"")</f>
        <v/>
      </c>
    </row>
    <row r="315" spans="1:9" x14ac:dyDescent="0.2">
      <c r="A315" s="2">
        <v>44760</v>
      </c>
      <c r="B315" s="1" t="s">
        <v>90</v>
      </c>
      <c r="C315" s="1" t="s">
        <v>251</v>
      </c>
      <c r="D315" s="1">
        <v>133306</v>
      </c>
      <c r="E315" s="3">
        <v>24580.6</v>
      </c>
      <c r="F315" s="1" t="s">
        <v>9</v>
      </c>
      <c r="G315" s="1" t="str">
        <f>Formula_Unique_Values!K314</f>
        <v/>
      </c>
      <c r="H315" s="3">
        <f>SUMIFS(Table1[Value],Table1[Outlets],G315)</f>
        <v>0</v>
      </c>
      <c r="I315" s="1" t="str">
        <f>IFERROR(VLOOKUP(G315,Table1[[Outlets]:[Region]],2,0),"")</f>
        <v/>
      </c>
    </row>
    <row r="316" spans="1:9" x14ac:dyDescent="0.2">
      <c r="A316" s="2">
        <v>44760</v>
      </c>
      <c r="B316" s="1" t="s">
        <v>168</v>
      </c>
      <c r="C316" s="1" t="s">
        <v>3</v>
      </c>
      <c r="D316" s="1">
        <v>133308</v>
      </c>
      <c r="E316" s="3">
        <v>42882.36</v>
      </c>
      <c r="F316" s="1" t="s">
        <v>10</v>
      </c>
      <c r="G316" s="1" t="str">
        <f>Formula_Unique_Values!K315</f>
        <v/>
      </c>
      <c r="H316" s="3">
        <f>SUMIFS(Table1[Value],Table1[Outlets],G316)</f>
        <v>0</v>
      </c>
      <c r="I316" s="1" t="str">
        <f>IFERROR(VLOOKUP(G316,Table1[[Outlets]:[Region]],2,0),"")</f>
        <v/>
      </c>
    </row>
    <row r="317" spans="1:9" x14ac:dyDescent="0.2">
      <c r="A317" s="2">
        <v>44761</v>
      </c>
      <c r="B317" s="1" t="s">
        <v>68</v>
      </c>
      <c r="C317" s="1" t="s">
        <v>3</v>
      </c>
      <c r="D317" s="1">
        <v>133324</v>
      </c>
      <c r="E317" s="3">
        <v>251225.14</v>
      </c>
      <c r="F317" s="1" t="s">
        <v>8</v>
      </c>
      <c r="G317" s="1" t="str">
        <f>Formula_Unique_Values!K316</f>
        <v/>
      </c>
      <c r="H317" s="3">
        <f>SUMIFS(Table1[Value],Table1[Outlets],G317)</f>
        <v>0</v>
      </c>
      <c r="I317" s="1" t="str">
        <f>IFERROR(VLOOKUP(G317,Table1[[Outlets]:[Region]],2,0),"")</f>
        <v/>
      </c>
    </row>
    <row r="318" spans="1:9" x14ac:dyDescent="0.2">
      <c r="A318" s="2">
        <v>44761</v>
      </c>
      <c r="B318" s="1" t="s">
        <v>76</v>
      </c>
      <c r="C318" s="1" t="s">
        <v>249</v>
      </c>
      <c r="D318" s="1">
        <v>133325</v>
      </c>
      <c r="E318" s="3">
        <v>91041.45</v>
      </c>
      <c r="F318" s="1" t="s">
        <v>8</v>
      </c>
      <c r="G318" s="1" t="str">
        <f>Formula_Unique_Values!K317</f>
        <v/>
      </c>
      <c r="H318" s="3">
        <f>SUMIFS(Table1[Value],Table1[Outlets],G318)</f>
        <v>0</v>
      </c>
      <c r="I318" s="1" t="str">
        <f>IFERROR(VLOOKUP(G318,Table1[[Outlets]:[Region]],2,0),"")</f>
        <v/>
      </c>
    </row>
    <row r="319" spans="1:9" x14ac:dyDescent="0.2">
      <c r="A319" s="2">
        <v>44761</v>
      </c>
      <c r="B319" s="1" t="s">
        <v>70</v>
      </c>
      <c r="C319" s="1" t="s">
        <v>3</v>
      </c>
      <c r="D319" s="1">
        <v>133326</v>
      </c>
      <c r="E319" s="3">
        <v>45639.49</v>
      </c>
      <c r="F319" s="1" t="s">
        <v>8</v>
      </c>
      <c r="G319" s="1" t="str">
        <f>Formula_Unique_Values!K318</f>
        <v/>
      </c>
      <c r="H319" s="3">
        <f>SUMIFS(Table1[Value],Table1[Outlets],G319)</f>
        <v>0</v>
      </c>
      <c r="I319" s="1" t="str">
        <f>IFERROR(VLOOKUP(G319,Table1[[Outlets]:[Region]],2,0),"")</f>
        <v/>
      </c>
    </row>
    <row r="320" spans="1:9" x14ac:dyDescent="0.2">
      <c r="A320" s="2">
        <v>44761</v>
      </c>
      <c r="B320" s="1" t="s">
        <v>69</v>
      </c>
      <c r="C320" s="1" t="s">
        <v>3</v>
      </c>
      <c r="D320" s="1">
        <v>133327</v>
      </c>
      <c r="E320" s="3">
        <v>82991.960000000006</v>
      </c>
      <c r="F320" s="1" t="s">
        <v>8</v>
      </c>
      <c r="G320" s="1" t="str">
        <f>Formula_Unique_Values!K319</f>
        <v/>
      </c>
      <c r="H320" s="3">
        <f>SUMIFS(Table1[Value],Table1[Outlets],G320)</f>
        <v>0</v>
      </c>
      <c r="I320" s="1" t="str">
        <f>IFERROR(VLOOKUP(G320,Table1[[Outlets]:[Region]],2,0),"")</f>
        <v/>
      </c>
    </row>
    <row r="321" spans="1:9" x14ac:dyDescent="0.2">
      <c r="A321" s="2">
        <v>44761</v>
      </c>
      <c r="B321" s="1" t="s">
        <v>63</v>
      </c>
      <c r="C321" s="1" t="s">
        <v>3</v>
      </c>
      <c r="D321" s="1">
        <v>133330</v>
      </c>
      <c r="E321" s="3">
        <v>62227.5</v>
      </c>
      <c r="F321" s="1" t="s">
        <v>8</v>
      </c>
      <c r="G321" s="1" t="str">
        <f>Formula_Unique_Values!K320</f>
        <v/>
      </c>
      <c r="H321" s="3">
        <f>SUMIFS(Table1[Value],Table1[Outlets],G321)</f>
        <v>0</v>
      </c>
      <c r="I321" s="1" t="str">
        <f>IFERROR(VLOOKUP(G321,Table1[[Outlets]:[Region]],2,0),"")</f>
        <v/>
      </c>
    </row>
    <row r="322" spans="1:9" x14ac:dyDescent="0.2">
      <c r="A322" s="2">
        <v>44761</v>
      </c>
      <c r="B322" s="1" t="s">
        <v>64</v>
      </c>
      <c r="C322" s="1" t="s">
        <v>3</v>
      </c>
      <c r="D322" s="1">
        <v>133331</v>
      </c>
      <c r="E322" s="3">
        <v>76034.429999999993</v>
      </c>
      <c r="F322" s="1" t="s">
        <v>8</v>
      </c>
      <c r="G322" s="1" t="str">
        <f>Formula_Unique_Values!K321</f>
        <v/>
      </c>
      <c r="H322" s="3">
        <f>SUMIFS(Table1[Value],Table1[Outlets],G322)</f>
        <v>0</v>
      </c>
      <c r="I322" s="1" t="str">
        <f>IFERROR(VLOOKUP(G322,Table1[[Outlets]:[Region]],2,0),"")</f>
        <v/>
      </c>
    </row>
    <row r="323" spans="1:9" x14ac:dyDescent="0.2">
      <c r="A323" s="2">
        <v>44761</v>
      </c>
      <c r="B323" s="1" t="s">
        <v>67</v>
      </c>
      <c r="C323" s="1" t="s">
        <v>3</v>
      </c>
      <c r="D323" s="1">
        <v>133332</v>
      </c>
      <c r="E323" s="3">
        <v>36580.5</v>
      </c>
      <c r="F323" s="1" t="s">
        <v>8</v>
      </c>
      <c r="G323" s="1" t="str">
        <f>Formula_Unique_Values!K322</f>
        <v/>
      </c>
      <c r="H323" s="3">
        <f>SUMIFS(Table1[Value],Table1[Outlets],G323)</f>
        <v>0</v>
      </c>
      <c r="I323" s="1" t="str">
        <f>IFERROR(VLOOKUP(G323,Table1[[Outlets]:[Region]],2,0),"")</f>
        <v/>
      </c>
    </row>
    <row r="324" spans="1:9" x14ac:dyDescent="0.2">
      <c r="A324" s="2">
        <v>44761</v>
      </c>
      <c r="B324" s="1" t="s">
        <v>72</v>
      </c>
      <c r="C324" s="1" t="s">
        <v>3</v>
      </c>
      <c r="D324" s="1">
        <v>133333</v>
      </c>
      <c r="E324" s="3">
        <v>63938.46</v>
      </c>
      <c r="F324" s="1" t="s">
        <v>8</v>
      </c>
      <c r="G324" s="1" t="str">
        <f>Formula_Unique_Values!K323</f>
        <v/>
      </c>
      <c r="H324" s="3">
        <f>SUMIFS(Table1[Value],Table1[Outlets],G324)</f>
        <v>0</v>
      </c>
      <c r="I324" s="1" t="str">
        <f>IFERROR(VLOOKUP(G324,Table1[[Outlets]:[Region]],2,0),"")</f>
        <v/>
      </c>
    </row>
    <row r="325" spans="1:9" x14ac:dyDescent="0.2">
      <c r="A325" s="2">
        <v>44761</v>
      </c>
      <c r="B325" s="1" t="s">
        <v>71</v>
      </c>
      <c r="C325" s="1" t="s">
        <v>3</v>
      </c>
      <c r="D325" s="1">
        <v>133334</v>
      </c>
      <c r="E325" s="3">
        <v>78862.17</v>
      </c>
      <c r="F325" s="1" t="s">
        <v>8</v>
      </c>
      <c r="G325" s="1" t="str">
        <f>Formula_Unique_Values!K324</f>
        <v/>
      </c>
      <c r="H325" s="3">
        <f>SUMIFS(Table1[Value],Table1[Outlets],G325)</f>
        <v>0</v>
      </c>
      <c r="I325" s="1" t="str">
        <f>IFERROR(VLOOKUP(G325,Table1[[Outlets]:[Region]],2,0),"")</f>
        <v/>
      </c>
    </row>
    <row r="326" spans="1:9" x14ac:dyDescent="0.2">
      <c r="A326" s="2">
        <v>44761</v>
      </c>
      <c r="B326" s="1" t="s">
        <v>66</v>
      </c>
      <c r="C326" s="1" t="s">
        <v>3</v>
      </c>
      <c r="D326" s="1">
        <v>133335</v>
      </c>
      <c r="E326" s="3">
        <v>92691.98</v>
      </c>
      <c r="F326" s="1" t="s">
        <v>8</v>
      </c>
      <c r="G326" s="1" t="str">
        <f>Formula_Unique_Values!K325</f>
        <v/>
      </c>
      <c r="H326" s="3">
        <f>SUMIFS(Table1[Value],Table1[Outlets],G326)</f>
        <v>0</v>
      </c>
      <c r="I326" s="1" t="str">
        <f>IFERROR(VLOOKUP(G326,Table1[[Outlets]:[Region]],2,0),"")</f>
        <v/>
      </c>
    </row>
    <row r="327" spans="1:9" x14ac:dyDescent="0.2">
      <c r="A327" s="2">
        <v>44761</v>
      </c>
      <c r="B327" s="1" t="s">
        <v>65</v>
      </c>
      <c r="C327" s="1" t="s">
        <v>3</v>
      </c>
      <c r="D327" s="1">
        <v>133336</v>
      </c>
      <c r="E327" s="3">
        <v>184730.44</v>
      </c>
      <c r="F327" s="1" t="s">
        <v>8</v>
      </c>
      <c r="G327" s="1" t="str">
        <f>Formula_Unique_Values!K326</f>
        <v/>
      </c>
      <c r="H327" s="3">
        <f>SUMIFS(Table1[Value],Table1[Outlets],G327)</f>
        <v>0</v>
      </c>
      <c r="I327" s="1" t="str">
        <f>IFERROR(VLOOKUP(G327,Table1[[Outlets]:[Region]],2,0),"")</f>
        <v/>
      </c>
    </row>
    <row r="328" spans="1:9" x14ac:dyDescent="0.2">
      <c r="A328" s="2">
        <v>44761</v>
      </c>
      <c r="B328" s="1" t="s">
        <v>89</v>
      </c>
      <c r="C328" s="1" t="s">
        <v>3</v>
      </c>
      <c r="D328" s="1">
        <v>133337</v>
      </c>
      <c r="E328" s="3">
        <v>47909.54</v>
      </c>
      <c r="F328" s="1" t="s">
        <v>11</v>
      </c>
      <c r="G328" s="1" t="str">
        <f>Formula_Unique_Values!K327</f>
        <v/>
      </c>
      <c r="H328" s="3">
        <f>SUMIFS(Table1[Value],Table1[Outlets],G328)</f>
        <v>0</v>
      </c>
      <c r="I328" s="1" t="str">
        <f>IFERROR(VLOOKUP(G328,Table1[[Outlets]:[Region]],2,0),"")</f>
        <v/>
      </c>
    </row>
    <row r="329" spans="1:9" x14ac:dyDescent="0.2">
      <c r="A329" s="2">
        <v>44761</v>
      </c>
      <c r="B329" s="1" t="s">
        <v>81</v>
      </c>
      <c r="C329" s="1" t="s">
        <v>3</v>
      </c>
      <c r="D329" s="1">
        <v>133338</v>
      </c>
      <c r="E329" s="3">
        <v>33342.699999999997</v>
      </c>
      <c r="F329" s="1" t="s">
        <v>11</v>
      </c>
      <c r="G329" s="1" t="str">
        <f>Formula_Unique_Values!K328</f>
        <v/>
      </c>
      <c r="H329" s="3">
        <f>SUMIFS(Table1[Value],Table1[Outlets],G329)</f>
        <v>0</v>
      </c>
      <c r="I329" s="1" t="str">
        <f>IFERROR(VLOOKUP(G329,Table1[[Outlets]:[Region]],2,0),"")</f>
        <v/>
      </c>
    </row>
    <row r="330" spans="1:9" x14ac:dyDescent="0.2">
      <c r="A330" s="2">
        <v>44761</v>
      </c>
      <c r="B330" s="1" t="s">
        <v>111</v>
      </c>
      <c r="C330" s="1" t="s">
        <v>3</v>
      </c>
      <c r="D330" s="1">
        <v>133339</v>
      </c>
      <c r="E330" s="3">
        <v>21537.66</v>
      </c>
      <c r="F330" s="1" t="s">
        <v>11</v>
      </c>
      <c r="G330" s="1" t="str">
        <f>Formula_Unique_Values!K329</f>
        <v/>
      </c>
      <c r="H330" s="3">
        <f>SUMIFS(Table1[Value],Table1[Outlets],G330)</f>
        <v>0</v>
      </c>
      <c r="I330" s="1" t="str">
        <f>IFERROR(VLOOKUP(G330,Table1[[Outlets]:[Region]],2,0),"")</f>
        <v/>
      </c>
    </row>
    <row r="331" spans="1:9" x14ac:dyDescent="0.2">
      <c r="A331" s="2">
        <v>44761</v>
      </c>
      <c r="B331" s="1" t="s">
        <v>78</v>
      </c>
      <c r="C331" s="1" t="s">
        <v>3</v>
      </c>
      <c r="D331" s="1">
        <v>133340</v>
      </c>
      <c r="E331" s="3">
        <v>71122.320000000007</v>
      </c>
      <c r="F331" s="1" t="s">
        <v>11</v>
      </c>
      <c r="G331" s="1" t="str">
        <f>Formula_Unique_Values!K330</f>
        <v/>
      </c>
      <c r="H331" s="3">
        <f>SUMIFS(Table1[Value],Table1[Outlets],G331)</f>
        <v>0</v>
      </c>
      <c r="I331" s="1" t="str">
        <f>IFERROR(VLOOKUP(G331,Table1[[Outlets]:[Region]],2,0),"")</f>
        <v/>
      </c>
    </row>
    <row r="332" spans="1:9" x14ac:dyDescent="0.2">
      <c r="A332" s="2">
        <v>44761</v>
      </c>
      <c r="B332" s="1" t="s">
        <v>91</v>
      </c>
      <c r="C332" s="1" t="s">
        <v>3</v>
      </c>
      <c r="D332" s="1">
        <v>133341</v>
      </c>
      <c r="E332" s="3">
        <v>19474.13</v>
      </c>
      <c r="F332" s="1" t="s">
        <v>11</v>
      </c>
      <c r="G332" s="1" t="str">
        <f>Formula_Unique_Values!K331</f>
        <v/>
      </c>
      <c r="H332" s="3">
        <f>SUMIFS(Table1[Value],Table1[Outlets],G332)</f>
        <v>0</v>
      </c>
      <c r="I332" s="1" t="str">
        <f>IFERROR(VLOOKUP(G332,Table1[[Outlets]:[Region]],2,0),"")</f>
        <v/>
      </c>
    </row>
    <row r="333" spans="1:9" x14ac:dyDescent="0.2">
      <c r="A333" s="2">
        <v>44761</v>
      </c>
      <c r="B333" s="1" t="s">
        <v>86</v>
      </c>
      <c r="C333" s="1" t="s">
        <v>3</v>
      </c>
      <c r="D333" s="1">
        <v>133342</v>
      </c>
      <c r="E333" s="3">
        <v>2502.15</v>
      </c>
      <c r="F333" s="1" t="s">
        <v>11</v>
      </c>
      <c r="G333" s="1" t="str">
        <f>Formula_Unique_Values!K332</f>
        <v/>
      </c>
      <c r="H333" s="3">
        <f>SUMIFS(Table1[Value],Table1[Outlets],G333)</f>
        <v>0</v>
      </c>
      <c r="I333" s="1" t="str">
        <f>IFERROR(VLOOKUP(G333,Table1[[Outlets]:[Region]],2,0),"")</f>
        <v/>
      </c>
    </row>
    <row r="334" spans="1:9" x14ac:dyDescent="0.2">
      <c r="A334" s="2">
        <v>44761</v>
      </c>
      <c r="B334" s="1" t="s">
        <v>213</v>
      </c>
      <c r="C334" s="1" t="s">
        <v>3</v>
      </c>
      <c r="D334" s="1">
        <v>133344</v>
      </c>
      <c r="E334" s="3">
        <v>10082.56</v>
      </c>
      <c r="F334" s="1" t="s">
        <v>5</v>
      </c>
      <c r="G334" s="1" t="str">
        <f>Formula_Unique_Values!K333</f>
        <v/>
      </c>
      <c r="H334" s="3">
        <f>SUMIFS(Table1[Value],Table1[Outlets],G334)</f>
        <v>0</v>
      </c>
      <c r="I334" s="1" t="str">
        <f>IFERROR(VLOOKUP(G334,Table1[[Outlets]:[Region]],2,0),"")</f>
        <v/>
      </c>
    </row>
    <row r="335" spans="1:9" x14ac:dyDescent="0.2">
      <c r="A335" s="2">
        <v>44761</v>
      </c>
      <c r="B335" s="1" t="s">
        <v>85</v>
      </c>
      <c r="C335" s="1" t="s">
        <v>3</v>
      </c>
      <c r="D335" s="1">
        <v>133345</v>
      </c>
      <c r="E335" s="3">
        <v>40984.92</v>
      </c>
      <c r="F335" s="1" t="s">
        <v>11</v>
      </c>
      <c r="G335" s="1" t="str">
        <f>Formula_Unique_Values!K334</f>
        <v/>
      </c>
      <c r="H335" s="3">
        <f>SUMIFS(Table1[Value],Table1[Outlets],G335)</f>
        <v>0</v>
      </c>
      <c r="I335" s="1" t="str">
        <f>IFERROR(VLOOKUP(G335,Table1[[Outlets]:[Region]],2,0),"")</f>
        <v/>
      </c>
    </row>
    <row r="336" spans="1:9" x14ac:dyDescent="0.2">
      <c r="A336" s="2">
        <v>44761</v>
      </c>
      <c r="B336" s="1" t="s">
        <v>129</v>
      </c>
      <c r="C336" s="1" t="s">
        <v>3</v>
      </c>
      <c r="D336" s="1">
        <v>133352</v>
      </c>
      <c r="E336" s="3">
        <v>13274.05</v>
      </c>
      <c r="F336" s="1" t="s">
        <v>9</v>
      </c>
      <c r="G336" s="1" t="str">
        <f>Formula_Unique_Values!K335</f>
        <v/>
      </c>
      <c r="H336" s="3">
        <f>SUMIFS(Table1[Value],Table1[Outlets],G336)</f>
        <v>0</v>
      </c>
      <c r="I336" s="1" t="str">
        <f>IFERROR(VLOOKUP(G336,Table1[[Outlets]:[Region]],2,0),"")</f>
        <v/>
      </c>
    </row>
    <row r="337" spans="1:9" x14ac:dyDescent="0.2">
      <c r="A337" s="2">
        <v>44761</v>
      </c>
      <c r="B337" s="1" t="s">
        <v>42</v>
      </c>
      <c r="C337" s="1" t="s">
        <v>3</v>
      </c>
      <c r="D337" s="1">
        <v>133353</v>
      </c>
      <c r="E337" s="3">
        <v>37626.449999999997</v>
      </c>
      <c r="F337" s="1" t="s">
        <v>9</v>
      </c>
      <c r="G337" s="1" t="str">
        <f>Formula_Unique_Values!K336</f>
        <v/>
      </c>
      <c r="H337" s="3">
        <f>SUMIFS(Table1[Value],Table1[Outlets],G337)</f>
        <v>0</v>
      </c>
      <c r="I337" s="1" t="str">
        <f>IFERROR(VLOOKUP(G337,Table1[[Outlets]:[Region]],2,0),"")</f>
        <v/>
      </c>
    </row>
    <row r="338" spans="1:9" x14ac:dyDescent="0.2">
      <c r="A338" s="2">
        <v>44761</v>
      </c>
      <c r="B338" s="1" t="s">
        <v>100</v>
      </c>
      <c r="C338" s="1" t="s">
        <v>3</v>
      </c>
      <c r="D338" s="1">
        <v>133354</v>
      </c>
      <c r="E338" s="3">
        <v>27141.98</v>
      </c>
      <c r="F338" s="1" t="s">
        <v>9</v>
      </c>
      <c r="G338" s="1" t="str">
        <f>Formula_Unique_Values!K337</f>
        <v/>
      </c>
      <c r="H338" s="3">
        <f>SUMIFS(Table1[Value],Table1[Outlets],G338)</f>
        <v>0</v>
      </c>
      <c r="I338" s="1" t="str">
        <f>IFERROR(VLOOKUP(G338,Table1[[Outlets]:[Region]],2,0),"")</f>
        <v/>
      </c>
    </row>
    <row r="339" spans="1:9" x14ac:dyDescent="0.2">
      <c r="A339" s="2">
        <v>44761</v>
      </c>
      <c r="B339" s="1" t="s">
        <v>96</v>
      </c>
      <c r="C339" s="1" t="s">
        <v>3</v>
      </c>
      <c r="D339" s="1">
        <v>133355</v>
      </c>
      <c r="E339" s="3">
        <v>49142</v>
      </c>
      <c r="F339" s="1" t="s">
        <v>9</v>
      </c>
      <c r="G339" s="1" t="str">
        <f>Formula_Unique_Values!K338</f>
        <v/>
      </c>
      <c r="H339" s="3">
        <f>SUMIFS(Table1[Value],Table1[Outlets],G339)</f>
        <v>0</v>
      </c>
      <c r="I339" s="1" t="str">
        <f>IFERROR(VLOOKUP(G339,Table1[[Outlets]:[Region]],2,0),"")</f>
        <v/>
      </c>
    </row>
    <row r="340" spans="1:9" x14ac:dyDescent="0.2">
      <c r="A340" s="2">
        <v>44761</v>
      </c>
      <c r="B340" s="1" t="s">
        <v>87</v>
      </c>
      <c r="C340" s="1" t="s">
        <v>3</v>
      </c>
      <c r="D340" s="1">
        <v>133356</v>
      </c>
      <c r="E340" s="3">
        <v>52048.18</v>
      </c>
      <c r="F340" s="1" t="s">
        <v>10</v>
      </c>
      <c r="G340" s="1" t="str">
        <f>Formula_Unique_Values!K339</f>
        <v/>
      </c>
      <c r="H340" s="3">
        <f>SUMIFS(Table1[Value],Table1[Outlets],G340)</f>
        <v>0</v>
      </c>
      <c r="I340" s="1" t="str">
        <f>IFERROR(VLOOKUP(G340,Table1[[Outlets]:[Region]],2,0),"")</f>
        <v/>
      </c>
    </row>
    <row r="341" spans="1:9" x14ac:dyDescent="0.2">
      <c r="A341" s="2">
        <v>44761</v>
      </c>
      <c r="B341" s="1" t="s">
        <v>58</v>
      </c>
      <c r="C341" s="1" t="s">
        <v>249</v>
      </c>
      <c r="D341" s="1">
        <v>133357</v>
      </c>
      <c r="E341" s="3">
        <v>37731.72</v>
      </c>
      <c r="F341" s="1" t="s">
        <v>9</v>
      </c>
      <c r="G341" s="1" t="str">
        <f>Formula_Unique_Values!K340</f>
        <v/>
      </c>
      <c r="H341" s="3">
        <f>SUMIFS(Table1[Value],Table1[Outlets],G341)</f>
        <v>0</v>
      </c>
      <c r="I341" s="1" t="str">
        <f>IFERROR(VLOOKUP(G341,Table1[[Outlets]:[Region]],2,0),"")</f>
        <v/>
      </c>
    </row>
    <row r="342" spans="1:9" x14ac:dyDescent="0.2">
      <c r="A342" s="2">
        <v>44761</v>
      </c>
      <c r="B342" s="1" t="s">
        <v>99</v>
      </c>
      <c r="C342" s="1" t="s">
        <v>3</v>
      </c>
      <c r="D342" s="1">
        <v>133361</v>
      </c>
      <c r="E342" s="3">
        <v>3976.31</v>
      </c>
      <c r="F342" s="1" t="s">
        <v>11</v>
      </c>
      <c r="G342" s="1" t="str">
        <f>Formula_Unique_Values!K341</f>
        <v/>
      </c>
      <c r="H342" s="3">
        <f>SUMIFS(Table1[Value],Table1[Outlets],G342)</f>
        <v>0</v>
      </c>
      <c r="I342" s="1" t="str">
        <f>IFERROR(VLOOKUP(G342,Table1[[Outlets]:[Region]],2,0),"")</f>
        <v/>
      </c>
    </row>
    <row r="343" spans="1:9" x14ac:dyDescent="0.2">
      <c r="A343" s="2">
        <v>44761</v>
      </c>
      <c r="B343" s="1" t="s">
        <v>21</v>
      </c>
      <c r="C343" s="1" t="s">
        <v>3</v>
      </c>
      <c r="D343" s="1">
        <v>133362</v>
      </c>
      <c r="E343" s="3">
        <v>15416.11</v>
      </c>
      <c r="F343" s="1" t="s">
        <v>4</v>
      </c>
      <c r="G343" s="1" t="str">
        <f>Formula_Unique_Values!K342</f>
        <v/>
      </c>
      <c r="H343" s="3">
        <f>SUMIFS(Table1[Value],Table1[Outlets],G343)</f>
        <v>0</v>
      </c>
      <c r="I343" s="1" t="str">
        <f>IFERROR(VLOOKUP(G343,Table1[[Outlets]:[Region]],2,0),"")</f>
        <v/>
      </c>
    </row>
    <row r="344" spans="1:9" x14ac:dyDescent="0.2">
      <c r="A344" s="2">
        <v>44761</v>
      </c>
      <c r="B344" s="1" t="s">
        <v>67</v>
      </c>
      <c r="C344" s="1" t="s">
        <v>3</v>
      </c>
      <c r="D344" s="1">
        <v>133363</v>
      </c>
      <c r="E344" s="3">
        <v>35424</v>
      </c>
      <c r="F344" s="1" t="s">
        <v>8</v>
      </c>
      <c r="G344" s="1" t="str">
        <f>Formula_Unique_Values!K343</f>
        <v/>
      </c>
      <c r="H344" s="3">
        <f>SUMIFS(Table1[Value],Table1[Outlets],G344)</f>
        <v>0</v>
      </c>
      <c r="I344" s="1" t="str">
        <f>IFERROR(VLOOKUP(G344,Table1[[Outlets]:[Region]],2,0),"")</f>
        <v/>
      </c>
    </row>
    <row r="345" spans="1:9" x14ac:dyDescent="0.2">
      <c r="A345" s="2">
        <v>44761</v>
      </c>
      <c r="B345" s="1" t="s">
        <v>27</v>
      </c>
      <c r="C345" s="1" t="s">
        <v>3</v>
      </c>
      <c r="D345" s="1">
        <v>133364</v>
      </c>
      <c r="E345" s="3">
        <v>5157.93</v>
      </c>
      <c r="F345" s="1" t="s">
        <v>4</v>
      </c>
      <c r="G345" s="1" t="str">
        <f>Formula_Unique_Values!K344</f>
        <v/>
      </c>
      <c r="H345" s="3">
        <f>SUMIFS(Table1[Value],Table1[Outlets],G345)</f>
        <v>0</v>
      </c>
      <c r="I345" s="1" t="str">
        <f>IFERROR(VLOOKUP(G345,Table1[[Outlets]:[Region]],2,0),"")</f>
        <v/>
      </c>
    </row>
    <row r="346" spans="1:9" x14ac:dyDescent="0.2">
      <c r="A346" s="2">
        <v>44761</v>
      </c>
      <c r="B346" s="1" t="s">
        <v>46</v>
      </c>
      <c r="C346" s="1" t="s">
        <v>3</v>
      </c>
      <c r="D346" s="1">
        <v>133367</v>
      </c>
      <c r="E346" s="3">
        <v>34273.96</v>
      </c>
      <c r="F346" s="1" t="s">
        <v>9</v>
      </c>
      <c r="G346" s="1" t="str">
        <f>Formula_Unique_Values!K345</f>
        <v/>
      </c>
      <c r="H346" s="3">
        <f>SUMIFS(Table1[Value],Table1[Outlets],G346)</f>
        <v>0</v>
      </c>
      <c r="I346" s="1" t="str">
        <f>IFERROR(VLOOKUP(G346,Table1[[Outlets]:[Region]],2,0),"")</f>
        <v/>
      </c>
    </row>
    <row r="347" spans="1:9" x14ac:dyDescent="0.2">
      <c r="A347" s="2">
        <v>44761</v>
      </c>
      <c r="B347" s="1" t="s">
        <v>30</v>
      </c>
      <c r="C347" s="1" t="s">
        <v>3</v>
      </c>
      <c r="D347" s="1">
        <v>133368</v>
      </c>
      <c r="E347" s="3">
        <v>41589.06</v>
      </c>
      <c r="F347" s="1" t="s">
        <v>4</v>
      </c>
      <c r="G347" s="1" t="str">
        <f>Formula_Unique_Values!K346</f>
        <v/>
      </c>
      <c r="H347" s="3">
        <f>SUMIFS(Table1[Value],Table1[Outlets],G347)</f>
        <v>0</v>
      </c>
      <c r="I347" s="1" t="str">
        <f>IFERROR(VLOOKUP(G347,Table1[[Outlets]:[Region]],2,0),"")</f>
        <v/>
      </c>
    </row>
    <row r="348" spans="1:9" x14ac:dyDescent="0.2">
      <c r="A348" s="2">
        <v>44761</v>
      </c>
      <c r="B348" s="1" t="s">
        <v>51</v>
      </c>
      <c r="C348" s="1" t="s">
        <v>249</v>
      </c>
      <c r="D348" s="1">
        <v>133369</v>
      </c>
      <c r="E348" s="3">
        <v>125312.84</v>
      </c>
      <c r="F348" s="1" t="s">
        <v>11</v>
      </c>
      <c r="G348" s="1" t="str">
        <f>Formula_Unique_Values!K347</f>
        <v/>
      </c>
      <c r="H348" s="3">
        <f>SUMIFS(Table1[Value],Table1[Outlets],G348)</f>
        <v>0</v>
      </c>
      <c r="I348" s="1" t="str">
        <f>IFERROR(VLOOKUP(G348,Table1[[Outlets]:[Region]],2,0),"")</f>
        <v/>
      </c>
    </row>
    <row r="349" spans="1:9" x14ac:dyDescent="0.2">
      <c r="A349" s="2">
        <v>44761</v>
      </c>
      <c r="B349" s="1" t="s">
        <v>173</v>
      </c>
      <c r="C349" s="1" t="s">
        <v>249</v>
      </c>
      <c r="D349" s="1">
        <v>133370</v>
      </c>
      <c r="E349" s="3">
        <v>21457.67</v>
      </c>
      <c r="F349" s="1" t="s">
        <v>4</v>
      </c>
      <c r="G349" s="1" t="str">
        <f>Formula_Unique_Values!K348</f>
        <v/>
      </c>
      <c r="H349" s="3">
        <f>SUMIFS(Table1[Value],Table1[Outlets],G349)</f>
        <v>0</v>
      </c>
      <c r="I349" s="1" t="str">
        <f>IFERROR(VLOOKUP(G349,Table1[[Outlets]:[Region]],2,0),"")</f>
        <v/>
      </c>
    </row>
    <row r="350" spans="1:9" x14ac:dyDescent="0.2">
      <c r="A350" s="2">
        <v>44761</v>
      </c>
      <c r="B350" s="1" t="s">
        <v>32</v>
      </c>
      <c r="C350" s="1" t="s">
        <v>3</v>
      </c>
      <c r="D350" s="1">
        <v>133373</v>
      </c>
      <c r="E350" s="3">
        <v>81460.95</v>
      </c>
      <c r="F350" s="1" t="s">
        <v>4</v>
      </c>
      <c r="G350" s="1" t="str">
        <f>Formula_Unique_Values!K349</f>
        <v/>
      </c>
      <c r="H350" s="3">
        <f>SUMIFS(Table1[Value],Table1[Outlets],G350)</f>
        <v>0</v>
      </c>
      <c r="I350" s="1" t="str">
        <f>IFERROR(VLOOKUP(G350,Table1[[Outlets]:[Region]],2,0),"")</f>
        <v/>
      </c>
    </row>
    <row r="351" spans="1:9" x14ac:dyDescent="0.2">
      <c r="A351" s="2">
        <v>44761</v>
      </c>
      <c r="B351" s="1" t="s">
        <v>104</v>
      </c>
      <c r="C351" s="1" t="s">
        <v>3</v>
      </c>
      <c r="D351" s="1">
        <v>133377</v>
      </c>
      <c r="E351" s="3">
        <v>33430.6</v>
      </c>
      <c r="F351" s="1" t="s">
        <v>11</v>
      </c>
      <c r="G351" s="1" t="str">
        <f>Formula_Unique_Values!K350</f>
        <v/>
      </c>
      <c r="H351" s="3">
        <f>SUMIFS(Table1[Value],Table1[Outlets],G351)</f>
        <v>0</v>
      </c>
      <c r="I351" s="1" t="str">
        <f>IFERROR(VLOOKUP(G351,Table1[[Outlets]:[Region]],2,0),"")</f>
        <v/>
      </c>
    </row>
    <row r="352" spans="1:9" x14ac:dyDescent="0.2">
      <c r="A352" s="2">
        <v>44762</v>
      </c>
      <c r="B352" s="1" t="s">
        <v>69</v>
      </c>
      <c r="C352" s="1" t="s">
        <v>3</v>
      </c>
      <c r="D352" s="1">
        <v>133387</v>
      </c>
      <c r="E352" s="3">
        <v>70848</v>
      </c>
      <c r="F352" s="1" t="s">
        <v>8</v>
      </c>
      <c r="G352" s="1" t="str">
        <f>Formula_Unique_Values!K351</f>
        <v/>
      </c>
      <c r="H352" s="3">
        <f>SUMIFS(Table1[Value],Table1[Outlets],G352)</f>
        <v>0</v>
      </c>
      <c r="I352" s="1" t="str">
        <f>IFERROR(VLOOKUP(G352,Table1[[Outlets]:[Region]],2,0),"")</f>
        <v/>
      </c>
    </row>
    <row r="353" spans="1:9" x14ac:dyDescent="0.2">
      <c r="A353" s="2">
        <v>44762</v>
      </c>
      <c r="B353" s="1" t="s">
        <v>29</v>
      </c>
      <c r="C353" s="1" t="s">
        <v>3</v>
      </c>
      <c r="D353" s="1">
        <v>133388</v>
      </c>
      <c r="E353" s="3">
        <v>301781.3</v>
      </c>
      <c r="F353" s="1" t="s">
        <v>4</v>
      </c>
      <c r="G353" s="1" t="str">
        <f>Formula_Unique_Values!K352</f>
        <v/>
      </c>
      <c r="H353" s="3">
        <f>SUMIFS(Table1[Value],Table1[Outlets],G353)</f>
        <v>0</v>
      </c>
      <c r="I353" s="1" t="str">
        <f>IFERROR(VLOOKUP(G353,Table1[[Outlets]:[Region]],2,0),"")</f>
        <v/>
      </c>
    </row>
    <row r="354" spans="1:9" x14ac:dyDescent="0.2">
      <c r="A354" s="2">
        <v>44762</v>
      </c>
      <c r="B354" s="1" t="s">
        <v>33</v>
      </c>
      <c r="C354" s="1" t="s">
        <v>3</v>
      </c>
      <c r="D354" s="1">
        <v>133389</v>
      </c>
      <c r="E354" s="3">
        <v>104813.98</v>
      </c>
      <c r="F354" s="1" t="s">
        <v>4</v>
      </c>
      <c r="G354" s="1" t="str">
        <f>Formula_Unique_Values!K353</f>
        <v/>
      </c>
      <c r="H354" s="3">
        <f>SUMIFS(Table1[Value],Table1[Outlets],G354)</f>
        <v>0</v>
      </c>
      <c r="I354" s="1" t="str">
        <f>IFERROR(VLOOKUP(G354,Table1[[Outlets]:[Region]],2,0),"")</f>
        <v/>
      </c>
    </row>
    <row r="355" spans="1:9" x14ac:dyDescent="0.2">
      <c r="A355" s="2">
        <v>44762</v>
      </c>
      <c r="B355" s="1" t="s">
        <v>53</v>
      </c>
      <c r="C355" s="1" t="s">
        <v>3</v>
      </c>
      <c r="D355" s="1">
        <v>133390</v>
      </c>
      <c r="E355" s="3">
        <v>130024.66</v>
      </c>
      <c r="F355" s="1" t="s">
        <v>4</v>
      </c>
      <c r="G355" s="1" t="str">
        <f>Formula_Unique_Values!K354</f>
        <v/>
      </c>
      <c r="H355" s="3">
        <f>SUMIFS(Table1[Value],Table1[Outlets],G355)</f>
        <v>0</v>
      </c>
      <c r="I355" s="1" t="str">
        <f>IFERROR(VLOOKUP(G355,Table1[[Outlets]:[Region]],2,0),"")</f>
        <v/>
      </c>
    </row>
    <row r="356" spans="1:9" x14ac:dyDescent="0.2">
      <c r="A356" s="2">
        <v>44762</v>
      </c>
      <c r="B356" s="1" t="s">
        <v>34</v>
      </c>
      <c r="C356" s="1" t="s">
        <v>3</v>
      </c>
      <c r="D356" s="1">
        <v>133392</v>
      </c>
      <c r="E356" s="3">
        <v>47369.23</v>
      </c>
      <c r="F356" s="1" t="s">
        <v>4</v>
      </c>
      <c r="G356" s="1" t="str">
        <f>Formula_Unique_Values!K355</f>
        <v/>
      </c>
      <c r="H356" s="3">
        <f>SUMIFS(Table1[Value],Table1[Outlets],G356)</f>
        <v>0</v>
      </c>
      <c r="I356" s="1" t="str">
        <f>IFERROR(VLOOKUP(G356,Table1[[Outlets]:[Region]],2,0),"")</f>
        <v/>
      </c>
    </row>
    <row r="357" spans="1:9" x14ac:dyDescent="0.2">
      <c r="A357" s="2">
        <v>44762</v>
      </c>
      <c r="B357" s="1" t="s">
        <v>19</v>
      </c>
      <c r="C357" s="1" t="s">
        <v>3</v>
      </c>
      <c r="D357" s="1">
        <v>133394</v>
      </c>
      <c r="E357" s="3">
        <v>12042.16</v>
      </c>
      <c r="F357" s="1" t="s">
        <v>4</v>
      </c>
      <c r="G357" s="1" t="str">
        <f>Formula_Unique_Values!K356</f>
        <v/>
      </c>
      <c r="H357" s="3">
        <f>SUMIFS(Table1[Value],Table1[Outlets],G357)</f>
        <v>0</v>
      </c>
      <c r="I357" s="1" t="str">
        <f>IFERROR(VLOOKUP(G357,Table1[[Outlets]:[Region]],2,0),"")</f>
        <v/>
      </c>
    </row>
    <row r="358" spans="1:9" x14ac:dyDescent="0.2">
      <c r="A358" s="2">
        <v>44762</v>
      </c>
      <c r="B358" s="1" t="s">
        <v>59</v>
      </c>
      <c r="C358" s="1" t="s">
        <v>249</v>
      </c>
      <c r="D358" s="1">
        <v>133395</v>
      </c>
      <c r="E358" s="3">
        <v>86872.06</v>
      </c>
      <c r="F358" s="1" t="s">
        <v>4</v>
      </c>
      <c r="G358" s="1" t="str">
        <f>Formula_Unique_Values!K357</f>
        <v/>
      </c>
      <c r="H358" s="3">
        <f>SUMIFS(Table1[Value],Table1[Outlets],G358)</f>
        <v>0</v>
      </c>
      <c r="I358" s="1" t="str">
        <f>IFERROR(VLOOKUP(G358,Table1[[Outlets]:[Region]],2,0),"")</f>
        <v/>
      </c>
    </row>
    <row r="359" spans="1:9" x14ac:dyDescent="0.2">
      <c r="A359" s="2">
        <v>44762</v>
      </c>
      <c r="B359" s="1" t="s">
        <v>152</v>
      </c>
      <c r="C359" s="1" t="s">
        <v>249</v>
      </c>
      <c r="D359" s="1">
        <v>133396</v>
      </c>
      <c r="E359" s="3">
        <v>16178.01</v>
      </c>
      <c r="F359" s="1" t="s">
        <v>4</v>
      </c>
      <c r="G359" s="1" t="str">
        <f>Formula_Unique_Values!K358</f>
        <v/>
      </c>
      <c r="H359" s="3">
        <f>SUMIFS(Table1[Value],Table1[Outlets],G359)</f>
        <v>0</v>
      </c>
      <c r="I359" s="1" t="str">
        <f>IFERROR(VLOOKUP(G359,Table1[[Outlets]:[Region]],2,0),"")</f>
        <v/>
      </c>
    </row>
    <row r="360" spans="1:9" x14ac:dyDescent="0.2">
      <c r="A360" s="2">
        <v>44762</v>
      </c>
      <c r="B360" s="1" t="s">
        <v>75</v>
      </c>
      <c r="C360" s="1" t="s">
        <v>249</v>
      </c>
      <c r="D360" s="1">
        <v>133397</v>
      </c>
      <c r="E360" s="3">
        <v>45180.45</v>
      </c>
      <c r="F360" s="1" t="s">
        <v>8</v>
      </c>
      <c r="G360" s="1" t="str">
        <f>Formula_Unique_Values!K359</f>
        <v/>
      </c>
      <c r="H360" s="3">
        <f>SUMIFS(Table1[Value],Table1[Outlets],G360)</f>
        <v>0</v>
      </c>
      <c r="I360" s="1" t="str">
        <f>IFERROR(VLOOKUP(G360,Table1[[Outlets]:[Region]],2,0),"")</f>
        <v/>
      </c>
    </row>
    <row r="361" spans="1:9" x14ac:dyDescent="0.2">
      <c r="A361" s="2">
        <v>44762</v>
      </c>
      <c r="B361" s="1" t="s">
        <v>214</v>
      </c>
      <c r="C361" s="1" t="s">
        <v>3</v>
      </c>
      <c r="D361" s="1">
        <v>133398</v>
      </c>
      <c r="E361" s="3">
        <v>30398.27</v>
      </c>
      <c r="F361" s="1" t="s">
        <v>11</v>
      </c>
      <c r="G361" s="1" t="str">
        <f>Formula_Unique_Values!K360</f>
        <v/>
      </c>
      <c r="H361" s="3">
        <f>SUMIFS(Table1[Value],Table1[Outlets],G361)</f>
        <v>0</v>
      </c>
      <c r="I361" s="1" t="str">
        <f>IFERROR(VLOOKUP(G361,Table1[[Outlets]:[Region]],2,0),"")</f>
        <v/>
      </c>
    </row>
    <row r="362" spans="1:9" x14ac:dyDescent="0.2">
      <c r="A362" s="2">
        <v>44762</v>
      </c>
      <c r="B362" s="1" t="s">
        <v>215</v>
      </c>
      <c r="C362" s="1" t="s">
        <v>3</v>
      </c>
      <c r="D362" s="1">
        <v>133399</v>
      </c>
      <c r="E362" s="3">
        <v>25661.62</v>
      </c>
      <c r="F362" s="1" t="s">
        <v>11</v>
      </c>
      <c r="G362" s="1" t="str">
        <f>Formula_Unique_Values!K361</f>
        <v/>
      </c>
      <c r="H362" s="3">
        <f>SUMIFS(Table1[Value],Table1[Outlets],G362)</f>
        <v>0</v>
      </c>
      <c r="I362" s="1" t="str">
        <f>IFERROR(VLOOKUP(G362,Table1[[Outlets]:[Region]],2,0),"")</f>
        <v/>
      </c>
    </row>
    <row r="363" spans="1:9" x14ac:dyDescent="0.2">
      <c r="A363" s="2">
        <v>44762</v>
      </c>
      <c r="B363" s="1" t="s">
        <v>35</v>
      </c>
      <c r="C363" s="1" t="s">
        <v>3</v>
      </c>
      <c r="D363" s="1">
        <v>133400</v>
      </c>
      <c r="E363" s="3">
        <v>65605.34</v>
      </c>
      <c r="F363" s="1" t="s">
        <v>4</v>
      </c>
      <c r="G363" s="1" t="str">
        <f>Formula_Unique_Values!K362</f>
        <v/>
      </c>
      <c r="H363" s="3">
        <f>SUMIFS(Table1[Value],Table1[Outlets],G363)</f>
        <v>0</v>
      </c>
      <c r="I363" s="1" t="str">
        <f>IFERROR(VLOOKUP(G363,Table1[[Outlets]:[Region]],2,0),"")</f>
        <v/>
      </c>
    </row>
    <row r="364" spans="1:9" x14ac:dyDescent="0.2">
      <c r="A364" s="2">
        <v>44762</v>
      </c>
      <c r="B364" s="1" t="s">
        <v>50</v>
      </c>
      <c r="C364" s="1" t="s">
        <v>249</v>
      </c>
      <c r="D364" s="1">
        <v>133401</v>
      </c>
      <c r="E364" s="3">
        <v>90039.59</v>
      </c>
      <c r="F364" s="1" t="s">
        <v>11</v>
      </c>
      <c r="G364" s="1" t="str">
        <f>Formula_Unique_Values!K363</f>
        <v/>
      </c>
      <c r="H364" s="3">
        <f>SUMIFS(Table1[Value],Table1[Outlets],G364)</f>
        <v>0</v>
      </c>
      <c r="I364" s="1" t="str">
        <f>IFERROR(VLOOKUP(G364,Table1[[Outlets]:[Region]],2,0),"")</f>
        <v/>
      </c>
    </row>
    <row r="365" spans="1:9" x14ac:dyDescent="0.2">
      <c r="A365" s="2">
        <v>44762</v>
      </c>
      <c r="B365" s="1" t="s">
        <v>216</v>
      </c>
      <c r="C365" s="1" t="s">
        <v>251</v>
      </c>
      <c r="D365" s="1">
        <v>133403</v>
      </c>
      <c r="E365" s="3">
        <v>44334.67</v>
      </c>
      <c r="F365" s="1" t="s">
        <v>11</v>
      </c>
      <c r="G365" s="1" t="str">
        <f>Formula_Unique_Values!K364</f>
        <v/>
      </c>
      <c r="H365" s="3">
        <f>SUMIFS(Table1[Value],Table1[Outlets],G365)</f>
        <v>0</v>
      </c>
      <c r="I365" s="1" t="str">
        <f>IFERROR(VLOOKUP(G365,Table1[[Outlets]:[Region]],2,0),"")</f>
        <v/>
      </c>
    </row>
    <row r="366" spans="1:9" x14ac:dyDescent="0.2">
      <c r="A366" s="2">
        <v>44762</v>
      </c>
      <c r="B366" s="1" t="s">
        <v>122</v>
      </c>
      <c r="C366" s="1" t="s">
        <v>3</v>
      </c>
      <c r="D366" s="1">
        <v>133404</v>
      </c>
      <c r="E366" s="3">
        <v>8274.02</v>
      </c>
      <c r="F366" s="1" t="s">
        <v>5</v>
      </c>
      <c r="G366" s="1" t="str">
        <f>Formula_Unique_Values!K365</f>
        <v/>
      </c>
      <c r="H366" s="3">
        <f>SUMIFS(Table1[Value],Table1[Outlets],G366)</f>
        <v>0</v>
      </c>
      <c r="I366" s="1" t="str">
        <f>IFERROR(VLOOKUP(G366,Table1[[Outlets]:[Region]],2,0),"")</f>
        <v/>
      </c>
    </row>
    <row r="367" spans="1:9" x14ac:dyDescent="0.2">
      <c r="A367" s="2">
        <v>44762</v>
      </c>
      <c r="B367" s="1" t="s">
        <v>114</v>
      </c>
      <c r="C367" s="1" t="s">
        <v>3</v>
      </c>
      <c r="D367" s="1">
        <v>133407</v>
      </c>
      <c r="E367" s="3">
        <v>70633.710000000006</v>
      </c>
      <c r="F367" s="1" t="s">
        <v>9</v>
      </c>
      <c r="G367" s="1" t="str">
        <f>Formula_Unique_Values!K366</f>
        <v/>
      </c>
      <c r="H367" s="3">
        <f>SUMIFS(Table1[Value],Table1[Outlets],G367)</f>
        <v>0</v>
      </c>
      <c r="I367" s="1" t="str">
        <f>IFERROR(VLOOKUP(G367,Table1[[Outlets]:[Region]],2,0),"")</f>
        <v/>
      </c>
    </row>
    <row r="368" spans="1:9" x14ac:dyDescent="0.2">
      <c r="A368" s="2">
        <v>44762</v>
      </c>
      <c r="B368" s="1" t="s">
        <v>44</v>
      </c>
      <c r="C368" s="1" t="s">
        <v>3</v>
      </c>
      <c r="D368" s="1">
        <v>133408</v>
      </c>
      <c r="E368" s="3">
        <v>46282.51</v>
      </c>
      <c r="F368" s="1" t="s">
        <v>9</v>
      </c>
      <c r="G368" s="1" t="str">
        <f>Formula_Unique_Values!K367</f>
        <v/>
      </c>
      <c r="H368" s="3">
        <f>SUMIFS(Table1[Value],Table1[Outlets],G368)</f>
        <v>0</v>
      </c>
      <c r="I368" s="1" t="str">
        <f>IFERROR(VLOOKUP(G368,Table1[[Outlets]:[Region]],2,0),"")</f>
        <v/>
      </c>
    </row>
    <row r="369" spans="1:9" x14ac:dyDescent="0.2">
      <c r="A369" s="2">
        <v>44762</v>
      </c>
      <c r="B369" s="1" t="s">
        <v>93</v>
      </c>
      <c r="C369" s="1" t="s">
        <v>3</v>
      </c>
      <c r="D369" s="1">
        <v>133410</v>
      </c>
      <c r="E369" s="3">
        <v>48752.86</v>
      </c>
      <c r="F369" s="1" t="s">
        <v>9</v>
      </c>
      <c r="G369" s="1" t="str">
        <f>Formula_Unique_Values!K368</f>
        <v/>
      </c>
      <c r="H369" s="3">
        <f>SUMIFS(Table1[Value],Table1[Outlets],G369)</f>
        <v>0</v>
      </c>
      <c r="I369" s="1" t="str">
        <f>IFERROR(VLOOKUP(G369,Table1[[Outlets]:[Region]],2,0),"")</f>
        <v/>
      </c>
    </row>
    <row r="370" spans="1:9" x14ac:dyDescent="0.2">
      <c r="A370" s="2">
        <v>44762</v>
      </c>
      <c r="B370" s="1" t="s">
        <v>144</v>
      </c>
      <c r="C370" s="1" t="s">
        <v>3</v>
      </c>
      <c r="D370" s="1">
        <v>133411</v>
      </c>
      <c r="E370" s="3">
        <v>6239.44</v>
      </c>
      <c r="F370" s="1" t="s">
        <v>5</v>
      </c>
      <c r="G370" s="1" t="str">
        <f>Formula_Unique_Values!K369</f>
        <v/>
      </c>
      <c r="H370" s="3">
        <f>SUMIFS(Table1[Value],Table1[Outlets],G370)</f>
        <v>0</v>
      </c>
      <c r="I370" s="1" t="str">
        <f>IFERROR(VLOOKUP(G370,Table1[[Outlets]:[Region]],2,0),"")</f>
        <v/>
      </c>
    </row>
    <row r="371" spans="1:9" x14ac:dyDescent="0.2">
      <c r="A371" s="2">
        <v>44762</v>
      </c>
      <c r="B371" s="1" t="s">
        <v>97</v>
      </c>
      <c r="C371" s="1" t="s">
        <v>3</v>
      </c>
      <c r="D371" s="1">
        <v>133412</v>
      </c>
      <c r="E371" s="3">
        <v>26739.32</v>
      </c>
      <c r="F371" s="1" t="s">
        <v>9</v>
      </c>
      <c r="G371" s="1" t="str">
        <f>Formula_Unique_Values!K370</f>
        <v/>
      </c>
      <c r="H371" s="3">
        <f>SUMIFS(Table1[Value],Table1[Outlets],G371)</f>
        <v>0</v>
      </c>
      <c r="I371" s="1" t="str">
        <f>IFERROR(VLOOKUP(G371,Table1[[Outlets]:[Region]],2,0),"")</f>
        <v/>
      </c>
    </row>
    <row r="372" spans="1:9" x14ac:dyDescent="0.2">
      <c r="A372" s="2">
        <v>44762</v>
      </c>
      <c r="B372" s="1" t="s">
        <v>217</v>
      </c>
      <c r="C372" s="1" t="s">
        <v>3</v>
      </c>
      <c r="D372" s="1">
        <v>133427</v>
      </c>
      <c r="E372" s="3">
        <v>4055.18</v>
      </c>
      <c r="F372" s="1" t="s">
        <v>18</v>
      </c>
      <c r="G372" s="1" t="str">
        <f>Formula_Unique_Values!K371</f>
        <v/>
      </c>
      <c r="H372" s="3">
        <f>SUMIFS(Table1[Value],Table1[Outlets],G372)</f>
        <v>0</v>
      </c>
      <c r="I372" s="1" t="str">
        <f>IFERROR(VLOOKUP(G372,Table1[[Outlets]:[Region]],2,0),"")</f>
        <v/>
      </c>
    </row>
    <row r="373" spans="1:9" x14ac:dyDescent="0.2">
      <c r="A373" s="2">
        <v>44762</v>
      </c>
      <c r="B373" s="1" t="s">
        <v>218</v>
      </c>
      <c r="C373" s="1" t="s">
        <v>3</v>
      </c>
      <c r="D373" s="1">
        <v>133428</v>
      </c>
      <c r="E373" s="3">
        <v>16789.21</v>
      </c>
      <c r="F373" s="1" t="s">
        <v>16</v>
      </c>
      <c r="G373" s="1" t="str">
        <f>Formula_Unique_Values!K372</f>
        <v/>
      </c>
      <c r="H373" s="3">
        <f>SUMIFS(Table1[Value],Table1[Outlets],G373)</f>
        <v>0</v>
      </c>
      <c r="I373" s="1" t="str">
        <f>IFERROR(VLOOKUP(G373,Table1[[Outlets]:[Region]],2,0),"")</f>
        <v/>
      </c>
    </row>
    <row r="374" spans="1:9" x14ac:dyDescent="0.2">
      <c r="A374" s="2">
        <v>44762</v>
      </c>
      <c r="B374" s="1" t="s">
        <v>219</v>
      </c>
      <c r="C374" s="1" t="s">
        <v>3</v>
      </c>
      <c r="D374" s="1">
        <v>133439</v>
      </c>
      <c r="E374" s="3">
        <v>6284.66</v>
      </c>
      <c r="F374" s="1" t="s">
        <v>5</v>
      </c>
      <c r="G374" s="1" t="str">
        <f>Formula_Unique_Values!K373</f>
        <v/>
      </c>
      <c r="H374" s="3">
        <f>SUMIFS(Table1[Value],Table1[Outlets],G374)</f>
        <v>0</v>
      </c>
      <c r="I374" s="1" t="str">
        <f>IFERROR(VLOOKUP(G374,Table1[[Outlets]:[Region]],2,0),"")</f>
        <v/>
      </c>
    </row>
    <row r="375" spans="1:9" x14ac:dyDescent="0.2">
      <c r="A375" s="2">
        <v>44762</v>
      </c>
      <c r="B375" s="1" t="s">
        <v>24</v>
      </c>
      <c r="C375" s="1" t="s">
        <v>3</v>
      </c>
      <c r="D375" s="1">
        <v>133442</v>
      </c>
      <c r="E375" s="3">
        <v>243408.77</v>
      </c>
      <c r="F375" s="1" t="s">
        <v>4</v>
      </c>
      <c r="G375" s="1" t="str">
        <f>Formula_Unique_Values!K374</f>
        <v/>
      </c>
      <c r="H375" s="3">
        <f>SUMIFS(Table1[Value],Table1[Outlets],G375)</f>
        <v>0</v>
      </c>
      <c r="I375" s="1" t="str">
        <f>IFERROR(VLOOKUP(G375,Table1[[Outlets]:[Region]],2,0),"")</f>
        <v/>
      </c>
    </row>
    <row r="376" spans="1:9" x14ac:dyDescent="0.2">
      <c r="A376" s="2">
        <v>44763</v>
      </c>
      <c r="B376" s="1" t="s">
        <v>25</v>
      </c>
      <c r="C376" s="1" t="s">
        <v>3</v>
      </c>
      <c r="D376" s="1">
        <v>133452</v>
      </c>
      <c r="E376" s="3">
        <v>77874</v>
      </c>
      <c r="F376" s="1" t="s">
        <v>8</v>
      </c>
      <c r="G376" s="1" t="str">
        <f>Formula_Unique_Values!K375</f>
        <v/>
      </c>
      <c r="H376" s="3">
        <f>SUMIFS(Table1[Value],Table1[Outlets],G376)</f>
        <v>0</v>
      </c>
      <c r="I376" s="1" t="str">
        <f>IFERROR(VLOOKUP(G376,Table1[[Outlets]:[Region]],2,0),"")</f>
        <v/>
      </c>
    </row>
    <row r="377" spans="1:9" x14ac:dyDescent="0.2">
      <c r="A377" s="2">
        <v>44763</v>
      </c>
      <c r="B377" s="1" t="s">
        <v>220</v>
      </c>
      <c r="C377" s="1" t="s">
        <v>3</v>
      </c>
      <c r="D377" s="1">
        <v>133454</v>
      </c>
      <c r="E377" s="3">
        <v>53081.9</v>
      </c>
      <c r="F377" s="1" t="s">
        <v>11</v>
      </c>
      <c r="G377" s="1" t="str">
        <f>Formula_Unique_Values!K376</f>
        <v/>
      </c>
      <c r="H377" s="3">
        <f>SUMIFS(Table1[Value],Table1[Outlets],G377)</f>
        <v>0</v>
      </c>
      <c r="I377" s="1" t="str">
        <f>IFERROR(VLOOKUP(G377,Table1[[Outlets]:[Region]],2,0),"")</f>
        <v/>
      </c>
    </row>
    <row r="378" spans="1:9" x14ac:dyDescent="0.2">
      <c r="A378" s="2">
        <v>44763</v>
      </c>
      <c r="B378" s="1" t="s">
        <v>221</v>
      </c>
      <c r="C378" s="1" t="s">
        <v>3</v>
      </c>
      <c r="D378" s="1">
        <v>133455</v>
      </c>
      <c r="E378" s="3">
        <v>9805.61</v>
      </c>
      <c r="F378" s="1" t="s">
        <v>11</v>
      </c>
      <c r="G378" s="1" t="str">
        <f>Formula_Unique_Values!K377</f>
        <v/>
      </c>
      <c r="H378" s="3">
        <f>SUMIFS(Table1[Value],Table1[Outlets],G378)</f>
        <v>0</v>
      </c>
      <c r="I378" s="1" t="str">
        <f>IFERROR(VLOOKUP(G378,Table1[[Outlets]:[Region]],2,0),"")</f>
        <v/>
      </c>
    </row>
    <row r="379" spans="1:9" x14ac:dyDescent="0.2">
      <c r="A379" s="2">
        <v>44763</v>
      </c>
      <c r="B379" s="1" t="s">
        <v>160</v>
      </c>
      <c r="C379" s="1" t="s">
        <v>3</v>
      </c>
      <c r="D379" s="1">
        <v>133456</v>
      </c>
      <c r="E379" s="3">
        <v>18444.62</v>
      </c>
      <c r="F379" s="1" t="s">
        <v>11</v>
      </c>
      <c r="G379" s="1" t="str">
        <f>Formula_Unique_Values!K378</f>
        <v/>
      </c>
      <c r="H379" s="3">
        <f>SUMIFS(Table1[Value],Table1[Outlets],G379)</f>
        <v>0</v>
      </c>
      <c r="I379" s="1" t="str">
        <f>IFERROR(VLOOKUP(G379,Table1[[Outlets]:[Region]],2,0),"")</f>
        <v/>
      </c>
    </row>
    <row r="380" spans="1:9" x14ac:dyDescent="0.2">
      <c r="A380" s="2">
        <v>44763</v>
      </c>
      <c r="B380" s="1" t="s">
        <v>95</v>
      </c>
      <c r="C380" s="1" t="s">
        <v>252</v>
      </c>
      <c r="D380" s="1">
        <v>133457</v>
      </c>
      <c r="E380" s="3">
        <v>126395.87</v>
      </c>
      <c r="F380" s="1" t="s">
        <v>4</v>
      </c>
      <c r="G380" s="1" t="str">
        <f>Formula_Unique_Values!K379</f>
        <v/>
      </c>
      <c r="H380" s="3">
        <f>SUMIFS(Table1[Value],Table1[Outlets],G380)</f>
        <v>0</v>
      </c>
      <c r="I380" s="1" t="str">
        <f>IFERROR(VLOOKUP(G380,Table1[[Outlets]:[Region]],2,0),"")</f>
        <v/>
      </c>
    </row>
    <row r="381" spans="1:9" x14ac:dyDescent="0.2">
      <c r="A381" s="2">
        <v>44763</v>
      </c>
      <c r="B381" s="1" t="s">
        <v>222</v>
      </c>
      <c r="C381" s="1" t="s">
        <v>250</v>
      </c>
      <c r="D381" s="1">
        <v>133458</v>
      </c>
      <c r="E381" s="3">
        <v>21041.53</v>
      </c>
      <c r="F381" s="1" t="s">
        <v>11</v>
      </c>
      <c r="G381" s="1" t="str">
        <f>Formula_Unique_Values!K380</f>
        <v/>
      </c>
      <c r="H381" s="3">
        <f>SUMIFS(Table1[Value],Table1[Outlets],G381)</f>
        <v>0</v>
      </c>
      <c r="I381" s="1" t="str">
        <f>IFERROR(VLOOKUP(G381,Table1[[Outlets]:[Region]],2,0),"")</f>
        <v/>
      </c>
    </row>
    <row r="382" spans="1:9" x14ac:dyDescent="0.2">
      <c r="A382" s="2">
        <v>44763</v>
      </c>
      <c r="B382" s="1" t="s">
        <v>135</v>
      </c>
      <c r="C382" s="1" t="s">
        <v>3</v>
      </c>
      <c r="D382" s="1">
        <v>133459</v>
      </c>
      <c r="E382" s="3">
        <v>26431.03</v>
      </c>
      <c r="F382" s="1" t="s">
        <v>11</v>
      </c>
      <c r="G382" s="1" t="str">
        <f>Formula_Unique_Values!K381</f>
        <v/>
      </c>
      <c r="H382" s="3">
        <f>SUMIFS(Table1[Value],Table1[Outlets],G382)</f>
        <v>0</v>
      </c>
      <c r="I382" s="1" t="str">
        <f>IFERROR(VLOOKUP(G382,Table1[[Outlets]:[Region]],2,0),"")</f>
        <v/>
      </c>
    </row>
    <row r="383" spans="1:9" x14ac:dyDescent="0.2">
      <c r="A383" s="2">
        <v>44763</v>
      </c>
      <c r="B383" s="1" t="s">
        <v>190</v>
      </c>
      <c r="C383" s="1" t="s">
        <v>3</v>
      </c>
      <c r="D383" s="1">
        <v>133466</v>
      </c>
      <c r="E383" s="3">
        <v>6459.05</v>
      </c>
      <c r="F383" s="1" t="s">
        <v>11</v>
      </c>
      <c r="G383" s="1" t="str">
        <f>Formula_Unique_Values!K382</f>
        <v/>
      </c>
      <c r="H383" s="3">
        <f>SUMIFS(Table1[Value],Table1[Outlets],G383)</f>
        <v>0</v>
      </c>
      <c r="I383" s="1" t="str">
        <f>IFERROR(VLOOKUP(G383,Table1[[Outlets]:[Region]],2,0),"")</f>
        <v/>
      </c>
    </row>
    <row r="384" spans="1:9" x14ac:dyDescent="0.2">
      <c r="A384" s="2">
        <v>44764</v>
      </c>
      <c r="B384" s="1" t="s">
        <v>68</v>
      </c>
      <c r="C384" s="1" t="s">
        <v>3</v>
      </c>
      <c r="D384" s="1">
        <v>133492</v>
      </c>
      <c r="E384" s="3">
        <v>290152.49</v>
      </c>
      <c r="F384" s="1" t="s">
        <v>8</v>
      </c>
      <c r="G384" s="1" t="str">
        <f>Formula_Unique_Values!K383</f>
        <v/>
      </c>
      <c r="H384" s="3">
        <f>SUMIFS(Table1[Value],Table1[Outlets],G384)</f>
        <v>0</v>
      </c>
      <c r="I384" s="1" t="str">
        <f>IFERROR(VLOOKUP(G384,Table1[[Outlets]:[Region]],2,0),"")</f>
        <v/>
      </c>
    </row>
    <row r="385" spans="1:12" x14ac:dyDescent="0.2">
      <c r="A385" s="2">
        <v>44764</v>
      </c>
      <c r="B385" s="1" t="s">
        <v>148</v>
      </c>
      <c r="C385" s="1" t="s">
        <v>3</v>
      </c>
      <c r="D385" s="1">
        <v>133493</v>
      </c>
      <c r="E385" s="3">
        <v>18258.650000000001</v>
      </c>
      <c r="F385" s="1" t="s">
        <v>16</v>
      </c>
      <c r="G385" s="1" t="str">
        <f>Formula_Unique_Values!K384</f>
        <v/>
      </c>
      <c r="H385" s="3">
        <f>SUMIFS(Table1[Value],Table1[Outlets],G385)</f>
        <v>0</v>
      </c>
      <c r="I385" s="1" t="str">
        <f>IFERROR(VLOOKUP(G385,Table1[[Outlets]:[Region]],2,0),"")</f>
        <v/>
      </c>
    </row>
    <row r="386" spans="1:12" x14ac:dyDescent="0.2">
      <c r="A386" s="2">
        <v>44764</v>
      </c>
      <c r="B386" s="1" t="s">
        <v>65</v>
      </c>
      <c r="C386" s="1" t="s">
        <v>3</v>
      </c>
      <c r="D386" s="1">
        <v>133494</v>
      </c>
      <c r="E386" s="3">
        <v>206206.79</v>
      </c>
      <c r="F386" s="1" t="s">
        <v>8</v>
      </c>
      <c r="G386" s="1" t="str">
        <f>Formula_Unique_Values!K385</f>
        <v/>
      </c>
      <c r="H386" s="3">
        <f>SUMIFS(Table1[Value],Table1[Outlets],G386)</f>
        <v>0</v>
      </c>
      <c r="I386" s="1" t="str">
        <f>IFERROR(VLOOKUP(G386,Table1[[Outlets]:[Region]],2,0),"")</f>
        <v/>
      </c>
    </row>
    <row r="387" spans="1:12" x14ac:dyDescent="0.2">
      <c r="A387" s="2">
        <v>44764</v>
      </c>
      <c r="B387" s="1" t="s">
        <v>69</v>
      </c>
      <c r="C387" s="1" t="s">
        <v>3</v>
      </c>
      <c r="D387" s="1">
        <v>133495</v>
      </c>
      <c r="E387" s="3">
        <v>103932.97</v>
      </c>
      <c r="F387" s="1" t="s">
        <v>8</v>
      </c>
      <c r="G387" s="1" t="str">
        <f>Formula_Unique_Values!K386</f>
        <v/>
      </c>
      <c r="H387" s="3">
        <f>SUMIFS(Table1[Value],Table1[Outlets],G387)</f>
        <v>0</v>
      </c>
      <c r="I387" s="1" t="str">
        <f>IFERROR(VLOOKUP(G387,Table1[[Outlets]:[Region]],2,0),"")</f>
        <v/>
      </c>
    </row>
    <row r="388" spans="1:12" x14ac:dyDescent="0.2">
      <c r="A388" s="2">
        <v>44764</v>
      </c>
      <c r="B388" s="1" t="s">
        <v>67</v>
      </c>
      <c r="C388" s="1" t="s">
        <v>3</v>
      </c>
      <c r="D388" s="1">
        <v>133496</v>
      </c>
      <c r="E388" s="3">
        <v>21723</v>
      </c>
      <c r="F388" s="1" t="s">
        <v>8</v>
      </c>
      <c r="G388" s="1" t="str">
        <f>Formula_Unique_Values!K387</f>
        <v/>
      </c>
      <c r="H388" s="3">
        <f>SUMIFS(Table1[Value],Table1[Outlets],G388)</f>
        <v>0</v>
      </c>
      <c r="I388" s="1" t="str">
        <f>IFERROR(VLOOKUP(G388,Table1[[Outlets]:[Region]],2,0),"")</f>
        <v/>
      </c>
    </row>
    <row r="389" spans="1:12" x14ac:dyDescent="0.2">
      <c r="A389" s="2">
        <v>44764</v>
      </c>
      <c r="B389" s="1" t="s">
        <v>64</v>
      </c>
      <c r="C389" s="1" t="s">
        <v>3</v>
      </c>
      <c r="D389" s="1">
        <v>133498</v>
      </c>
      <c r="E389" s="3">
        <v>81620.960000000006</v>
      </c>
      <c r="F389" s="1" t="s">
        <v>8</v>
      </c>
      <c r="G389" s="1" t="str">
        <f>Formula_Unique_Values!K388</f>
        <v/>
      </c>
      <c r="H389" s="3">
        <f>SUMIFS(Table1[Value],Table1[Outlets],G389)</f>
        <v>0</v>
      </c>
      <c r="I389" s="1" t="str">
        <f>IFERROR(VLOOKUP(G389,Table1[[Outlets]:[Region]],2,0),"")</f>
        <v/>
      </c>
    </row>
    <row r="390" spans="1:12" x14ac:dyDescent="0.2">
      <c r="A390" s="2">
        <v>44764</v>
      </c>
      <c r="B390" s="1" t="s">
        <v>70</v>
      </c>
      <c r="C390" s="1" t="s">
        <v>3</v>
      </c>
      <c r="D390" s="1">
        <v>133499</v>
      </c>
      <c r="E390" s="3">
        <v>71452.5</v>
      </c>
      <c r="F390" s="1" t="s">
        <v>8</v>
      </c>
      <c r="G390" s="1" t="str">
        <f>Formula_Unique_Values!K389</f>
        <v/>
      </c>
      <c r="H390" s="3">
        <f>SUMIFS(Table1[Value],Table1[Outlets],G390)</f>
        <v>0</v>
      </c>
      <c r="I390" s="1" t="str">
        <f>IFERROR(VLOOKUP(G390,Table1[[Outlets]:[Region]],2,0),"")</f>
        <v/>
      </c>
    </row>
    <row r="391" spans="1:12" x14ac:dyDescent="0.2">
      <c r="A391" s="2">
        <v>44764</v>
      </c>
      <c r="B391" s="1" t="s">
        <v>71</v>
      </c>
      <c r="C391" s="1" t="s">
        <v>3</v>
      </c>
      <c r="D391" s="1">
        <v>133501</v>
      </c>
      <c r="E391" s="3">
        <v>90966</v>
      </c>
      <c r="F391" s="1" t="s">
        <v>8</v>
      </c>
      <c r="G391" s="1" t="str">
        <f>Formula_Unique_Values!K390</f>
        <v/>
      </c>
      <c r="H391" s="3">
        <f>SUMIFS(Table1[Value],Table1[Outlets],G391)</f>
        <v>0</v>
      </c>
      <c r="I391" s="1" t="str">
        <f>IFERROR(VLOOKUP(G391,Table1[[Outlets]:[Region]],2,0),"")</f>
        <v/>
      </c>
    </row>
    <row r="392" spans="1:12" x14ac:dyDescent="0.2">
      <c r="A392" s="2">
        <v>44764</v>
      </c>
      <c r="B392" s="1" t="s">
        <v>140</v>
      </c>
      <c r="C392" s="1" t="s">
        <v>3</v>
      </c>
      <c r="D392" s="1">
        <v>133502</v>
      </c>
      <c r="E392" s="3">
        <v>15376.17</v>
      </c>
      <c r="F392" s="1" t="s">
        <v>8</v>
      </c>
      <c r="G392" s="1" t="str">
        <f>Formula_Unique_Values!K391</f>
        <v/>
      </c>
      <c r="H392" s="3">
        <f>SUMIFS(Table1[Value],Table1[Outlets],G392)</f>
        <v>0</v>
      </c>
      <c r="I392" s="1" t="str">
        <f>IFERROR(VLOOKUP(G392,Table1[[Outlets]:[Region]],2,0),"")</f>
        <v/>
      </c>
    </row>
    <row r="393" spans="1:12" x14ac:dyDescent="0.2">
      <c r="A393" s="2">
        <v>44764</v>
      </c>
      <c r="B393" s="1" t="s">
        <v>66</v>
      </c>
      <c r="C393" s="1" t="s">
        <v>3</v>
      </c>
      <c r="D393" s="1">
        <v>133503</v>
      </c>
      <c r="E393" s="3">
        <v>135272.47</v>
      </c>
      <c r="F393" s="1" t="s">
        <v>8</v>
      </c>
      <c r="G393" s="1" t="str">
        <f>Formula_Unique_Values!K392</f>
        <v/>
      </c>
      <c r="H393" s="3">
        <f>SUMIFS(Table1[Value],Table1[Outlets],G393)</f>
        <v>0</v>
      </c>
      <c r="I393" s="1" t="str">
        <f>IFERROR(VLOOKUP(G393,Table1[[Outlets]:[Region]],2,0),"")</f>
        <v/>
      </c>
    </row>
    <row r="394" spans="1:12" x14ac:dyDescent="0.2">
      <c r="A394" s="2">
        <v>44764</v>
      </c>
      <c r="B394" s="1" t="s">
        <v>63</v>
      </c>
      <c r="C394" s="1" t="s">
        <v>3</v>
      </c>
      <c r="D394" s="1">
        <v>133504</v>
      </c>
      <c r="E394" s="3">
        <v>54941.84</v>
      </c>
      <c r="F394" s="1" t="s">
        <v>8</v>
      </c>
      <c r="G394" s="1" t="str">
        <f>Formula_Unique_Values!K393</f>
        <v/>
      </c>
      <c r="H394" s="3">
        <f>SUMIFS(Table1[Value],Table1[Outlets],G394)</f>
        <v>0</v>
      </c>
      <c r="I394" s="1" t="str">
        <f>IFERROR(VLOOKUP(G394,Table1[[Outlets]:[Region]],2,0),"")</f>
        <v/>
      </c>
    </row>
    <row r="395" spans="1:12" x14ac:dyDescent="0.2">
      <c r="A395" s="2">
        <v>44764</v>
      </c>
      <c r="B395" s="1" t="s">
        <v>79</v>
      </c>
      <c r="C395" s="1" t="s">
        <v>3</v>
      </c>
      <c r="D395" s="1">
        <v>133506</v>
      </c>
      <c r="E395" s="3">
        <v>15574.17</v>
      </c>
      <c r="F395" s="1" t="s">
        <v>11</v>
      </c>
      <c r="G395" s="1" t="str">
        <f>Formula_Unique_Values!K394</f>
        <v/>
      </c>
      <c r="H395" s="3">
        <f>SUMIFS(Table1[Value],Table1[Outlets],G395)</f>
        <v>0</v>
      </c>
      <c r="I395" s="1" t="str">
        <f>IFERROR(VLOOKUP(G395,Table1[[Outlets]:[Region]],2,0),"")</f>
        <v/>
      </c>
    </row>
    <row r="396" spans="1:12" x14ac:dyDescent="0.2">
      <c r="A396" s="2">
        <v>44764</v>
      </c>
      <c r="B396" s="1" t="s">
        <v>22</v>
      </c>
      <c r="C396" s="1" t="s">
        <v>3</v>
      </c>
      <c r="D396" s="1">
        <v>133507</v>
      </c>
      <c r="E396" s="3">
        <v>40863.129999999997</v>
      </c>
      <c r="F396" s="1" t="s">
        <v>11</v>
      </c>
      <c r="L396" s="1">
        <f>COUNT(L3:L395)</f>
        <v>27</v>
      </c>
    </row>
    <row r="397" spans="1:12" x14ac:dyDescent="0.2">
      <c r="A397" s="2">
        <v>44764</v>
      </c>
      <c r="B397" s="1" t="s">
        <v>38</v>
      </c>
      <c r="C397" s="1" t="s">
        <v>3</v>
      </c>
      <c r="D397" s="1">
        <v>133508</v>
      </c>
      <c r="E397" s="3">
        <v>23747.32</v>
      </c>
      <c r="F397" s="1" t="s">
        <v>4</v>
      </c>
    </row>
    <row r="398" spans="1:12" x14ac:dyDescent="0.2">
      <c r="A398" s="2">
        <v>44764</v>
      </c>
      <c r="B398" s="1" t="s">
        <v>223</v>
      </c>
      <c r="C398" s="1" t="s">
        <v>3</v>
      </c>
      <c r="D398" s="1">
        <v>133509</v>
      </c>
      <c r="E398" s="3">
        <v>19551.73</v>
      </c>
      <c r="F398" s="1" t="s">
        <v>16</v>
      </c>
    </row>
    <row r="399" spans="1:12" x14ac:dyDescent="0.2">
      <c r="A399" s="2">
        <v>44764</v>
      </c>
      <c r="B399" s="1" t="s">
        <v>39</v>
      </c>
      <c r="C399" s="1" t="s">
        <v>3</v>
      </c>
      <c r="D399" s="1">
        <v>133532</v>
      </c>
      <c r="E399" s="3">
        <v>22035.599999999999</v>
      </c>
      <c r="F399" s="1" t="s">
        <v>11</v>
      </c>
    </row>
    <row r="400" spans="1:12" x14ac:dyDescent="0.2">
      <c r="A400" s="2">
        <v>44764</v>
      </c>
      <c r="B400" s="1" t="s">
        <v>127</v>
      </c>
      <c r="C400" s="1" t="s">
        <v>3</v>
      </c>
      <c r="D400" s="1">
        <v>133533</v>
      </c>
      <c r="E400" s="3">
        <v>2022.41</v>
      </c>
      <c r="F400" s="1" t="s">
        <v>9</v>
      </c>
    </row>
    <row r="401" spans="1:6" x14ac:dyDescent="0.2">
      <c r="A401" s="2">
        <v>44764</v>
      </c>
      <c r="B401" s="1" t="s">
        <v>55</v>
      </c>
      <c r="C401" s="1" t="s">
        <v>3</v>
      </c>
      <c r="D401" s="1">
        <v>133561</v>
      </c>
      <c r="E401" s="3">
        <v>18076.310000000001</v>
      </c>
      <c r="F401" s="1" t="s">
        <v>9</v>
      </c>
    </row>
    <row r="402" spans="1:6" x14ac:dyDescent="0.2">
      <c r="A402" s="2">
        <v>44764</v>
      </c>
      <c r="B402" s="1" t="s">
        <v>56</v>
      </c>
      <c r="C402" s="1" t="s">
        <v>3</v>
      </c>
      <c r="D402" s="1">
        <v>133563</v>
      </c>
      <c r="E402" s="3">
        <v>6582.33</v>
      </c>
      <c r="F402" s="1" t="s">
        <v>9</v>
      </c>
    </row>
    <row r="403" spans="1:6" x14ac:dyDescent="0.2">
      <c r="A403" s="2">
        <v>44764</v>
      </c>
      <c r="B403" s="1" t="s">
        <v>162</v>
      </c>
      <c r="C403" s="1" t="s">
        <v>253</v>
      </c>
      <c r="D403" s="1">
        <v>133565</v>
      </c>
      <c r="E403" s="3">
        <v>6081.46</v>
      </c>
      <c r="F403" s="1" t="s">
        <v>9</v>
      </c>
    </row>
    <row r="404" spans="1:6" x14ac:dyDescent="0.2">
      <c r="A404" s="2">
        <v>44764</v>
      </c>
      <c r="B404" s="1" t="s">
        <v>189</v>
      </c>
      <c r="C404" s="1" t="s">
        <v>253</v>
      </c>
      <c r="D404" s="1">
        <v>133566</v>
      </c>
      <c r="E404" s="3">
        <v>6081.46</v>
      </c>
      <c r="F404" s="1" t="s">
        <v>9</v>
      </c>
    </row>
    <row r="405" spans="1:6" x14ac:dyDescent="0.2">
      <c r="A405" s="2">
        <v>44764</v>
      </c>
      <c r="B405" s="1" t="s">
        <v>179</v>
      </c>
      <c r="C405" s="1" t="s">
        <v>253</v>
      </c>
      <c r="D405" s="1">
        <v>133567</v>
      </c>
      <c r="E405" s="3">
        <v>6081.46</v>
      </c>
      <c r="F405" s="1" t="s">
        <v>9</v>
      </c>
    </row>
    <row r="406" spans="1:6" x14ac:dyDescent="0.2">
      <c r="A406" s="2">
        <v>44764</v>
      </c>
      <c r="B406" s="1" t="s">
        <v>100</v>
      </c>
      <c r="C406" s="1" t="s">
        <v>3</v>
      </c>
      <c r="D406" s="1">
        <v>133568</v>
      </c>
      <c r="E406" s="3">
        <v>6081.46</v>
      </c>
      <c r="F406" s="1" t="s">
        <v>9</v>
      </c>
    </row>
    <row r="407" spans="1:6" x14ac:dyDescent="0.2">
      <c r="A407" s="2">
        <v>44764</v>
      </c>
      <c r="B407" s="1" t="s">
        <v>97</v>
      </c>
      <c r="C407" s="1" t="s">
        <v>3</v>
      </c>
      <c r="D407" s="1">
        <v>133569</v>
      </c>
      <c r="E407" s="3">
        <v>6081.46</v>
      </c>
      <c r="F407" s="1" t="s">
        <v>9</v>
      </c>
    </row>
    <row r="408" spans="1:6" x14ac:dyDescent="0.2">
      <c r="A408" s="2">
        <v>44764</v>
      </c>
      <c r="B408" s="1" t="s">
        <v>224</v>
      </c>
      <c r="C408" s="1" t="s">
        <v>3</v>
      </c>
      <c r="D408" s="1">
        <v>133570</v>
      </c>
      <c r="E408" s="3">
        <v>6081.46</v>
      </c>
      <c r="F408" s="1" t="s">
        <v>9</v>
      </c>
    </row>
    <row r="409" spans="1:6" x14ac:dyDescent="0.2">
      <c r="A409" s="2">
        <v>44764</v>
      </c>
      <c r="B409" s="1" t="s">
        <v>56</v>
      </c>
      <c r="C409" s="1" t="s">
        <v>3</v>
      </c>
      <c r="D409" s="1">
        <v>133571</v>
      </c>
      <c r="E409" s="3">
        <v>6081.46</v>
      </c>
      <c r="F409" s="1" t="s">
        <v>9</v>
      </c>
    </row>
    <row r="410" spans="1:6" x14ac:dyDescent="0.2">
      <c r="A410" s="2">
        <v>44764</v>
      </c>
      <c r="B410" s="1" t="s">
        <v>42</v>
      </c>
      <c r="C410" s="1" t="s">
        <v>3</v>
      </c>
      <c r="D410" s="1">
        <v>133572</v>
      </c>
      <c r="E410" s="3">
        <v>6081.46</v>
      </c>
      <c r="F410" s="1" t="s">
        <v>9</v>
      </c>
    </row>
    <row r="411" spans="1:6" x14ac:dyDescent="0.2">
      <c r="A411" s="2">
        <v>44764</v>
      </c>
      <c r="B411" s="1" t="s">
        <v>130</v>
      </c>
      <c r="C411" s="1" t="s">
        <v>3</v>
      </c>
      <c r="D411" s="1">
        <v>133573</v>
      </c>
      <c r="E411" s="3">
        <v>6081.46</v>
      </c>
      <c r="F411" s="1" t="s">
        <v>9</v>
      </c>
    </row>
    <row r="412" spans="1:6" x14ac:dyDescent="0.2">
      <c r="A412" s="2">
        <v>44764</v>
      </c>
      <c r="B412" s="1" t="s">
        <v>209</v>
      </c>
      <c r="C412" s="1" t="s">
        <v>3</v>
      </c>
      <c r="D412" s="1">
        <v>133574</v>
      </c>
      <c r="E412" s="3">
        <v>6081.46</v>
      </c>
      <c r="F412" s="1" t="s">
        <v>9</v>
      </c>
    </row>
    <row r="413" spans="1:6" x14ac:dyDescent="0.2">
      <c r="A413" s="2">
        <v>44764</v>
      </c>
      <c r="B413" s="1" t="s">
        <v>92</v>
      </c>
      <c r="C413" s="1" t="s">
        <v>3</v>
      </c>
      <c r="D413" s="1">
        <v>133575</v>
      </c>
      <c r="E413" s="3">
        <v>6081.46</v>
      </c>
      <c r="F413" s="1" t="s">
        <v>9</v>
      </c>
    </row>
    <row r="414" spans="1:6" x14ac:dyDescent="0.2">
      <c r="A414" s="2">
        <v>44764</v>
      </c>
      <c r="B414" s="1" t="s">
        <v>114</v>
      </c>
      <c r="C414" s="1" t="s">
        <v>3</v>
      </c>
      <c r="D414" s="1">
        <v>133576</v>
      </c>
      <c r="E414" s="3">
        <v>6081.46</v>
      </c>
      <c r="F414" s="1" t="s">
        <v>9</v>
      </c>
    </row>
    <row r="415" spans="1:6" x14ac:dyDescent="0.2">
      <c r="A415" s="2">
        <v>44764</v>
      </c>
      <c r="B415" s="1" t="s">
        <v>55</v>
      </c>
      <c r="C415" s="1" t="s">
        <v>3</v>
      </c>
      <c r="D415" s="1">
        <v>133577</v>
      </c>
      <c r="E415" s="3">
        <v>6081.46</v>
      </c>
      <c r="F415" s="1" t="s">
        <v>9</v>
      </c>
    </row>
    <row r="416" spans="1:6" x14ac:dyDescent="0.2">
      <c r="A416" s="2">
        <v>44764</v>
      </c>
      <c r="B416" s="1" t="s">
        <v>225</v>
      </c>
      <c r="C416" s="1" t="s">
        <v>3</v>
      </c>
      <c r="D416" s="1">
        <v>133578</v>
      </c>
      <c r="E416" s="3">
        <v>6081.46</v>
      </c>
      <c r="F416" s="1" t="s">
        <v>9</v>
      </c>
    </row>
    <row r="417" spans="1:6" x14ac:dyDescent="0.2">
      <c r="A417" s="2">
        <v>44764</v>
      </c>
      <c r="B417" s="1" t="s">
        <v>126</v>
      </c>
      <c r="C417" s="1" t="s">
        <v>3</v>
      </c>
      <c r="D417" s="1">
        <v>133579</v>
      </c>
      <c r="E417" s="3">
        <v>6081.46</v>
      </c>
      <c r="F417" s="1" t="s">
        <v>9</v>
      </c>
    </row>
    <row r="418" spans="1:6" x14ac:dyDescent="0.2">
      <c r="A418" s="2">
        <v>44764</v>
      </c>
      <c r="B418" s="1" t="s">
        <v>94</v>
      </c>
      <c r="C418" s="1" t="s">
        <v>3</v>
      </c>
      <c r="D418" s="1">
        <v>133580</v>
      </c>
      <c r="E418" s="3">
        <v>6081.46</v>
      </c>
      <c r="F418" s="1" t="s">
        <v>9</v>
      </c>
    </row>
    <row r="419" spans="1:6" x14ac:dyDescent="0.2">
      <c r="A419" s="2">
        <v>44765</v>
      </c>
      <c r="B419" s="1" t="s">
        <v>226</v>
      </c>
      <c r="C419" s="1" t="s">
        <v>3</v>
      </c>
      <c r="D419" s="1">
        <v>133590</v>
      </c>
      <c r="E419" s="3">
        <v>6081.46</v>
      </c>
      <c r="F419" s="1" t="s">
        <v>9</v>
      </c>
    </row>
    <row r="420" spans="1:6" x14ac:dyDescent="0.2">
      <c r="A420" s="2">
        <v>44765</v>
      </c>
      <c r="B420" s="1" t="s">
        <v>139</v>
      </c>
      <c r="C420" s="1" t="s">
        <v>3</v>
      </c>
      <c r="D420" s="1">
        <v>133591</v>
      </c>
      <c r="E420" s="3">
        <v>6081.46</v>
      </c>
      <c r="F420" s="1" t="s">
        <v>9</v>
      </c>
    </row>
    <row r="421" spans="1:6" x14ac:dyDescent="0.2">
      <c r="A421" s="2">
        <v>44765</v>
      </c>
      <c r="B421" s="1" t="s">
        <v>45</v>
      </c>
      <c r="C421" s="1" t="s">
        <v>3</v>
      </c>
      <c r="D421" s="1">
        <v>133592</v>
      </c>
      <c r="E421" s="3">
        <v>6081.46</v>
      </c>
      <c r="F421" s="1" t="s">
        <v>9</v>
      </c>
    </row>
    <row r="422" spans="1:6" x14ac:dyDescent="0.2">
      <c r="A422" s="2">
        <v>44765</v>
      </c>
      <c r="B422" s="1" t="s">
        <v>48</v>
      </c>
      <c r="C422" s="1" t="s">
        <v>3</v>
      </c>
      <c r="D422" s="1">
        <v>133593</v>
      </c>
      <c r="E422" s="3">
        <v>6081.46</v>
      </c>
      <c r="F422" s="1" t="s">
        <v>9</v>
      </c>
    </row>
    <row r="423" spans="1:6" x14ac:dyDescent="0.2">
      <c r="A423" s="2">
        <v>44765</v>
      </c>
      <c r="B423" s="1" t="s">
        <v>133</v>
      </c>
      <c r="C423" s="1" t="s">
        <v>3</v>
      </c>
      <c r="D423" s="1">
        <v>133594</v>
      </c>
      <c r="E423" s="3">
        <v>6081.46</v>
      </c>
      <c r="F423" s="1" t="s">
        <v>9</v>
      </c>
    </row>
    <row r="424" spans="1:6" x14ac:dyDescent="0.2">
      <c r="A424" s="2">
        <v>44765</v>
      </c>
      <c r="B424" s="1" t="s">
        <v>132</v>
      </c>
      <c r="C424" s="1" t="s">
        <v>3</v>
      </c>
      <c r="D424" s="1">
        <v>133595</v>
      </c>
      <c r="E424" s="3">
        <v>6081.46</v>
      </c>
      <c r="F424" s="1" t="s">
        <v>9</v>
      </c>
    </row>
    <row r="425" spans="1:6" x14ac:dyDescent="0.2">
      <c r="A425" s="2">
        <v>44765</v>
      </c>
      <c r="B425" s="1" t="s">
        <v>178</v>
      </c>
      <c r="C425" s="1" t="s">
        <v>252</v>
      </c>
      <c r="D425" s="1">
        <v>133596</v>
      </c>
      <c r="E425" s="3">
        <v>12162.93</v>
      </c>
      <c r="F425" s="1" t="s">
        <v>9</v>
      </c>
    </row>
    <row r="426" spans="1:6" x14ac:dyDescent="0.2">
      <c r="A426" s="2">
        <v>44765</v>
      </c>
      <c r="B426" s="1" t="s">
        <v>93</v>
      </c>
      <c r="C426" s="1" t="s">
        <v>3</v>
      </c>
      <c r="D426" s="1">
        <v>133597</v>
      </c>
      <c r="E426" s="3">
        <v>12162.93</v>
      </c>
      <c r="F426" s="1" t="s">
        <v>9</v>
      </c>
    </row>
    <row r="427" spans="1:6" x14ac:dyDescent="0.2">
      <c r="A427" s="2">
        <v>44765</v>
      </c>
      <c r="B427" s="1" t="s">
        <v>101</v>
      </c>
      <c r="C427" s="1" t="s">
        <v>3</v>
      </c>
      <c r="D427" s="1">
        <v>133598</v>
      </c>
      <c r="E427" s="3">
        <v>12162.93</v>
      </c>
      <c r="F427" s="1" t="s">
        <v>9</v>
      </c>
    </row>
    <row r="428" spans="1:6" x14ac:dyDescent="0.2">
      <c r="A428" s="2">
        <v>44765</v>
      </c>
      <c r="B428" s="1" t="s">
        <v>98</v>
      </c>
      <c r="C428" s="1" t="s">
        <v>3</v>
      </c>
      <c r="D428" s="1">
        <v>133599</v>
      </c>
      <c r="E428" s="3">
        <v>12162.93</v>
      </c>
      <c r="F428" s="1" t="s">
        <v>9</v>
      </c>
    </row>
    <row r="429" spans="1:6" x14ac:dyDescent="0.2">
      <c r="A429" s="2">
        <v>44765</v>
      </c>
      <c r="B429" s="1" t="s">
        <v>46</v>
      </c>
      <c r="C429" s="1" t="s">
        <v>3</v>
      </c>
      <c r="D429" s="1">
        <v>133600</v>
      </c>
      <c r="E429" s="3">
        <v>12162.93</v>
      </c>
      <c r="F429" s="1" t="s">
        <v>9</v>
      </c>
    </row>
    <row r="430" spans="1:6" x14ac:dyDescent="0.2">
      <c r="A430" s="2">
        <v>44765</v>
      </c>
      <c r="B430" s="1" t="s">
        <v>112</v>
      </c>
      <c r="C430" s="1" t="s">
        <v>3</v>
      </c>
      <c r="D430" s="1">
        <v>133601</v>
      </c>
      <c r="E430" s="3">
        <v>12162.93</v>
      </c>
      <c r="F430" s="1" t="s">
        <v>9</v>
      </c>
    </row>
    <row r="431" spans="1:6" x14ac:dyDescent="0.2">
      <c r="A431" s="2">
        <v>44765</v>
      </c>
      <c r="B431" s="1" t="s">
        <v>108</v>
      </c>
      <c r="C431" s="1" t="s">
        <v>3</v>
      </c>
      <c r="D431" s="1">
        <v>133602</v>
      </c>
      <c r="E431" s="3">
        <v>12162.93</v>
      </c>
      <c r="F431" s="1" t="s">
        <v>9</v>
      </c>
    </row>
    <row r="432" spans="1:6" x14ac:dyDescent="0.2">
      <c r="A432" s="2">
        <v>44765</v>
      </c>
      <c r="B432" s="1" t="s">
        <v>106</v>
      </c>
      <c r="C432" s="1" t="s">
        <v>3</v>
      </c>
      <c r="D432" s="1">
        <v>133603</v>
      </c>
      <c r="E432" s="3">
        <v>12162.93</v>
      </c>
      <c r="F432" s="1" t="s">
        <v>9</v>
      </c>
    </row>
    <row r="433" spans="1:6" x14ac:dyDescent="0.2">
      <c r="A433" s="2">
        <v>44765</v>
      </c>
      <c r="B433" s="1" t="s">
        <v>47</v>
      </c>
      <c r="C433" s="1" t="s">
        <v>3</v>
      </c>
      <c r="D433" s="1">
        <v>133604</v>
      </c>
      <c r="E433" s="3">
        <v>12162.93</v>
      </c>
      <c r="F433" s="1" t="s">
        <v>9</v>
      </c>
    </row>
    <row r="434" spans="1:6" x14ac:dyDescent="0.2">
      <c r="A434" s="2">
        <v>44765</v>
      </c>
      <c r="B434" s="1" t="s">
        <v>187</v>
      </c>
      <c r="C434" s="1" t="s">
        <v>3</v>
      </c>
      <c r="D434" s="1">
        <v>133605</v>
      </c>
      <c r="E434" s="3">
        <v>12162.93</v>
      </c>
      <c r="F434" s="1" t="s">
        <v>9</v>
      </c>
    </row>
    <row r="435" spans="1:6" x14ac:dyDescent="0.2">
      <c r="A435" s="2">
        <v>44765</v>
      </c>
      <c r="B435" s="1" t="s">
        <v>227</v>
      </c>
      <c r="C435" s="1" t="s">
        <v>3</v>
      </c>
      <c r="D435" s="1">
        <v>133606</v>
      </c>
      <c r="E435" s="3">
        <v>12162.93</v>
      </c>
      <c r="F435" s="1" t="s">
        <v>9</v>
      </c>
    </row>
    <row r="436" spans="1:6" x14ac:dyDescent="0.2">
      <c r="A436" s="2">
        <v>44765</v>
      </c>
      <c r="B436" s="1" t="s">
        <v>113</v>
      </c>
      <c r="C436" s="1" t="s">
        <v>3</v>
      </c>
      <c r="D436" s="1">
        <v>133607</v>
      </c>
      <c r="E436" s="3">
        <v>12162.93</v>
      </c>
      <c r="F436" s="1" t="s">
        <v>9</v>
      </c>
    </row>
    <row r="437" spans="1:6" x14ac:dyDescent="0.2">
      <c r="A437" s="2">
        <v>44765</v>
      </c>
      <c r="B437" s="1" t="s">
        <v>163</v>
      </c>
      <c r="C437" s="1" t="s">
        <v>3</v>
      </c>
      <c r="D437" s="1">
        <v>133608</v>
      </c>
      <c r="E437" s="3">
        <v>12162.93</v>
      </c>
      <c r="F437" s="1" t="s">
        <v>9</v>
      </c>
    </row>
    <row r="438" spans="1:6" x14ac:dyDescent="0.2">
      <c r="A438" s="2">
        <v>44765</v>
      </c>
      <c r="B438" s="1" t="s">
        <v>105</v>
      </c>
      <c r="C438" s="1" t="s">
        <v>3</v>
      </c>
      <c r="D438" s="1">
        <v>133609</v>
      </c>
      <c r="E438" s="3">
        <v>12162.93</v>
      </c>
      <c r="F438" s="1" t="s">
        <v>9</v>
      </c>
    </row>
    <row r="439" spans="1:6" x14ac:dyDescent="0.2">
      <c r="A439" s="2">
        <v>44765</v>
      </c>
      <c r="B439" s="1" t="s">
        <v>44</v>
      </c>
      <c r="C439" s="1" t="s">
        <v>3</v>
      </c>
      <c r="D439" s="1">
        <v>133610</v>
      </c>
      <c r="E439" s="3">
        <v>12162.93</v>
      </c>
      <c r="F439" s="1" t="s">
        <v>9</v>
      </c>
    </row>
    <row r="440" spans="1:6" x14ac:dyDescent="0.2">
      <c r="A440" s="2">
        <v>44765</v>
      </c>
      <c r="B440" s="1" t="s">
        <v>43</v>
      </c>
      <c r="C440" s="1" t="s">
        <v>3</v>
      </c>
      <c r="D440" s="1">
        <v>133611</v>
      </c>
      <c r="E440" s="3">
        <v>12162.93</v>
      </c>
      <c r="F440" s="1" t="s">
        <v>9</v>
      </c>
    </row>
    <row r="441" spans="1:6" x14ac:dyDescent="0.2">
      <c r="A441" s="2">
        <v>44765</v>
      </c>
      <c r="B441" s="1" t="s">
        <v>153</v>
      </c>
      <c r="C441" s="1" t="s">
        <v>3</v>
      </c>
      <c r="D441" s="1">
        <v>133612</v>
      </c>
      <c r="E441" s="3">
        <v>12162.93</v>
      </c>
      <c r="F441" s="1" t="s">
        <v>9</v>
      </c>
    </row>
    <row r="442" spans="1:6" x14ac:dyDescent="0.2">
      <c r="A442" s="2">
        <v>44765</v>
      </c>
      <c r="B442" s="1" t="s">
        <v>96</v>
      </c>
      <c r="C442" s="1" t="s">
        <v>3</v>
      </c>
      <c r="D442" s="1">
        <v>133615</v>
      </c>
      <c r="E442" s="3">
        <v>8950.86</v>
      </c>
      <c r="F442" s="1" t="s">
        <v>9</v>
      </c>
    </row>
    <row r="443" spans="1:6" x14ac:dyDescent="0.2">
      <c r="A443" s="2">
        <v>44765</v>
      </c>
      <c r="B443" s="1" t="s">
        <v>58</v>
      </c>
      <c r="C443" s="1" t="s">
        <v>249</v>
      </c>
      <c r="D443" s="1">
        <v>133616</v>
      </c>
      <c r="E443" s="3">
        <v>12162.93</v>
      </c>
      <c r="F443" s="1" t="s">
        <v>9</v>
      </c>
    </row>
    <row r="444" spans="1:6" x14ac:dyDescent="0.2">
      <c r="A444" s="2">
        <v>44765</v>
      </c>
      <c r="B444" s="1" t="s">
        <v>177</v>
      </c>
      <c r="C444" s="1" t="s">
        <v>249</v>
      </c>
      <c r="D444" s="1">
        <v>133617</v>
      </c>
      <c r="E444" s="3">
        <v>12162.93</v>
      </c>
      <c r="F444" s="1" t="s">
        <v>9</v>
      </c>
    </row>
    <row r="445" spans="1:6" x14ac:dyDescent="0.2">
      <c r="A445" s="2">
        <v>44765</v>
      </c>
      <c r="B445" s="1" t="s">
        <v>177</v>
      </c>
      <c r="C445" s="1" t="s">
        <v>249</v>
      </c>
      <c r="D445" s="1">
        <v>133618</v>
      </c>
      <c r="E445" s="3">
        <v>6081.46</v>
      </c>
      <c r="F445" s="1" t="s">
        <v>9</v>
      </c>
    </row>
    <row r="446" spans="1:6" x14ac:dyDescent="0.2">
      <c r="A446" s="2">
        <v>44765</v>
      </c>
      <c r="B446" s="1" t="s">
        <v>136</v>
      </c>
      <c r="C446" s="1" t="s">
        <v>3</v>
      </c>
      <c r="D446" s="1">
        <v>133620</v>
      </c>
      <c r="E446" s="3">
        <v>14748.66</v>
      </c>
      <c r="F446" s="1" t="s">
        <v>11</v>
      </c>
    </row>
    <row r="447" spans="1:6" x14ac:dyDescent="0.2">
      <c r="A447" s="2">
        <v>44765</v>
      </c>
      <c r="B447" s="1" t="s">
        <v>155</v>
      </c>
      <c r="C447" s="1" t="s">
        <v>3</v>
      </c>
      <c r="D447" s="1">
        <v>133621</v>
      </c>
      <c r="E447" s="3">
        <v>50727.97</v>
      </c>
      <c r="F447" s="1" t="s">
        <v>11</v>
      </c>
    </row>
    <row r="448" spans="1:6" x14ac:dyDescent="0.2">
      <c r="A448" s="2">
        <v>44765</v>
      </c>
      <c r="B448" s="1" t="s">
        <v>25</v>
      </c>
      <c r="C448" s="1" t="s">
        <v>3</v>
      </c>
      <c r="D448" s="1">
        <v>133622</v>
      </c>
      <c r="E448" s="3">
        <v>115852.46</v>
      </c>
      <c r="F448" s="1" t="s">
        <v>8</v>
      </c>
    </row>
    <row r="449" spans="1:6" x14ac:dyDescent="0.2">
      <c r="A449" s="2">
        <v>44765</v>
      </c>
      <c r="B449" s="1" t="s">
        <v>19</v>
      </c>
      <c r="C449" s="1" t="s">
        <v>3</v>
      </c>
      <c r="D449" s="1">
        <v>133624</v>
      </c>
      <c r="E449" s="3">
        <v>61918.79</v>
      </c>
      <c r="F449" s="1" t="s">
        <v>4</v>
      </c>
    </row>
    <row r="450" spans="1:6" x14ac:dyDescent="0.2">
      <c r="A450" s="2">
        <v>44765</v>
      </c>
      <c r="B450" s="1" t="s">
        <v>182</v>
      </c>
      <c r="C450" s="1" t="s">
        <v>250</v>
      </c>
      <c r="D450" s="1">
        <v>133625</v>
      </c>
      <c r="E450" s="3">
        <v>5508.62</v>
      </c>
      <c r="F450" s="1" t="s">
        <v>11</v>
      </c>
    </row>
    <row r="451" spans="1:6" x14ac:dyDescent="0.2">
      <c r="A451" s="2">
        <v>44765</v>
      </c>
      <c r="B451" s="1" t="s">
        <v>150</v>
      </c>
      <c r="C451" s="1" t="s">
        <v>250</v>
      </c>
      <c r="D451" s="1">
        <v>133626</v>
      </c>
      <c r="E451" s="3">
        <v>12060</v>
      </c>
      <c r="F451" s="1" t="s">
        <v>8</v>
      </c>
    </row>
    <row r="452" spans="1:6" x14ac:dyDescent="0.2">
      <c r="A452" s="2">
        <v>44765</v>
      </c>
      <c r="B452" s="1" t="s">
        <v>228</v>
      </c>
      <c r="C452" s="1" t="s">
        <v>250</v>
      </c>
      <c r="D452" s="1">
        <v>133627</v>
      </c>
      <c r="E452" s="3">
        <v>2412</v>
      </c>
      <c r="F452" s="1" t="s">
        <v>8</v>
      </c>
    </row>
    <row r="453" spans="1:6" x14ac:dyDescent="0.2">
      <c r="A453" s="2">
        <v>44765</v>
      </c>
      <c r="B453" s="1" t="s">
        <v>228</v>
      </c>
      <c r="C453" s="1" t="s">
        <v>250</v>
      </c>
      <c r="D453" s="1">
        <v>133628</v>
      </c>
      <c r="E453" s="3">
        <v>34933.5</v>
      </c>
      <c r="F453" s="1" t="s">
        <v>8</v>
      </c>
    </row>
    <row r="454" spans="1:6" x14ac:dyDescent="0.2">
      <c r="A454" s="2">
        <v>44765</v>
      </c>
      <c r="B454" s="1" t="s">
        <v>150</v>
      </c>
      <c r="C454" s="1" t="s">
        <v>250</v>
      </c>
      <c r="D454" s="1">
        <v>133629</v>
      </c>
      <c r="E454" s="3">
        <v>14494.5</v>
      </c>
      <c r="F454" s="1" t="s">
        <v>8</v>
      </c>
    </row>
    <row r="455" spans="1:6" x14ac:dyDescent="0.2">
      <c r="A455" s="2">
        <v>44765</v>
      </c>
      <c r="B455" s="1" t="s">
        <v>228</v>
      </c>
      <c r="C455" s="1" t="s">
        <v>250</v>
      </c>
      <c r="D455" s="1">
        <v>133632</v>
      </c>
      <c r="E455" s="3">
        <v>2412</v>
      </c>
      <c r="F455" s="1" t="s">
        <v>8</v>
      </c>
    </row>
    <row r="456" spans="1:6" x14ac:dyDescent="0.2">
      <c r="A456" s="2">
        <v>44765</v>
      </c>
      <c r="B456" s="1" t="s">
        <v>196</v>
      </c>
      <c r="C456" s="1" t="s">
        <v>250</v>
      </c>
      <c r="D456" s="1">
        <v>133633</v>
      </c>
      <c r="E456" s="3">
        <v>12162.93</v>
      </c>
      <c r="F456" s="1" t="s">
        <v>9</v>
      </c>
    </row>
    <row r="457" spans="1:6" x14ac:dyDescent="0.2">
      <c r="A457" s="2">
        <v>44765</v>
      </c>
      <c r="B457" s="1" t="s">
        <v>236</v>
      </c>
      <c r="C457" s="1" t="s">
        <v>250</v>
      </c>
      <c r="D457" s="1">
        <v>133634</v>
      </c>
      <c r="E457" s="3">
        <v>12162.93</v>
      </c>
      <c r="F457" s="1" t="s">
        <v>9</v>
      </c>
    </row>
    <row r="458" spans="1:6" x14ac:dyDescent="0.2">
      <c r="A458" s="2">
        <v>44765</v>
      </c>
      <c r="B458" s="1" t="s">
        <v>117</v>
      </c>
      <c r="C458" s="1" t="s">
        <v>250</v>
      </c>
      <c r="D458" s="1">
        <v>133635</v>
      </c>
      <c r="E458" s="3">
        <v>9627.16</v>
      </c>
      <c r="F458" s="1" t="s">
        <v>9</v>
      </c>
    </row>
    <row r="459" spans="1:6" x14ac:dyDescent="0.2">
      <c r="A459" s="2">
        <v>44765</v>
      </c>
      <c r="B459" s="1" t="s">
        <v>210</v>
      </c>
      <c r="C459" s="1" t="s">
        <v>250</v>
      </c>
      <c r="D459" s="1">
        <v>133636</v>
      </c>
      <c r="E459" s="3">
        <v>5324.99</v>
      </c>
      <c r="F459" s="1" t="s">
        <v>9</v>
      </c>
    </row>
    <row r="460" spans="1:6" x14ac:dyDescent="0.2">
      <c r="A460" s="2">
        <v>44765</v>
      </c>
      <c r="B460" s="1" t="s">
        <v>107</v>
      </c>
      <c r="C460" s="1" t="s">
        <v>250</v>
      </c>
      <c r="D460" s="1">
        <v>133637</v>
      </c>
      <c r="E460" s="3">
        <v>5324.99</v>
      </c>
      <c r="F460" s="1" t="s">
        <v>9</v>
      </c>
    </row>
    <row r="461" spans="1:6" x14ac:dyDescent="0.2">
      <c r="A461" s="2">
        <v>44765</v>
      </c>
      <c r="B461" s="1" t="s">
        <v>117</v>
      </c>
      <c r="C461" s="1" t="s">
        <v>250</v>
      </c>
      <c r="D461" s="1">
        <v>133638</v>
      </c>
      <c r="E461" s="3">
        <v>5324.99</v>
      </c>
      <c r="F461" s="1" t="s">
        <v>9</v>
      </c>
    </row>
    <row r="462" spans="1:6" x14ac:dyDescent="0.2">
      <c r="A462" s="2">
        <v>44765</v>
      </c>
      <c r="B462" s="1" t="s">
        <v>118</v>
      </c>
      <c r="C462" s="1" t="s">
        <v>3</v>
      </c>
      <c r="D462" s="1">
        <v>133641</v>
      </c>
      <c r="E462" s="3">
        <v>23818.97</v>
      </c>
      <c r="F462" s="1" t="s">
        <v>11</v>
      </c>
    </row>
    <row r="463" spans="1:6" x14ac:dyDescent="0.2">
      <c r="A463" s="2">
        <v>44765</v>
      </c>
      <c r="B463" s="1" t="s">
        <v>229</v>
      </c>
      <c r="C463" s="1" t="s">
        <v>3</v>
      </c>
      <c r="D463" s="1">
        <v>133642</v>
      </c>
      <c r="E463" s="3">
        <v>34030.54</v>
      </c>
      <c r="F463" s="1" t="s">
        <v>6</v>
      </c>
    </row>
    <row r="464" spans="1:6" x14ac:dyDescent="0.2">
      <c r="A464" s="2">
        <v>44765</v>
      </c>
      <c r="B464" s="1" t="s">
        <v>193</v>
      </c>
      <c r="C464" s="1" t="s">
        <v>254</v>
      </c>
      <c r="D464" s="1">
        <v>133643</v>
      </c>
      <c r="E464" s="3">
        <v>12162.93</v>
      </c>
      <c r="F464" s="1" t="s">
        <v>9</v>
      </c>
    </row>
    <row r="465" spans="1:6" x14ac:dyDescent="0.2">
      <c r="A465" s="2">
        <v>44765</v>
      </c>
      <c r="B465" s="1" t="s">
        <v>90</v>
      </c>
      <c r="C465" s="1" t="s">
        <v>251</v>
      </c>
      <c r="D465" s="1">
        <v>133644</v>
      </c>
      <c r="E465" s="3">
        <v>12162.93</v>
      </c>
      <c r="F465" s="1" t="s">
        <v>9</v>
      </c>
    </row>
    <row r="466" spans="1:6" x14ac:dyDescent="0.2">
      <c r="A466" s="2">
        <v>44765</v>
      </c>
      <c r="B466" s="1" t="s">
        <v>230</v>
      </c>
      <c r="C466" s="1" t="s">
        <v>251</v>
      </c>
      <c r="D466" s="1">
        <v>133645</v>
      </c>
      <c r="E466" s="3">
        <v>12162.93</v>
      </c>
      <c r="F466" s="1" t="s">
        <v>9</v>
      </c>
    </row>
    <row r="467" spans="1:6" x14ac:dyDescent="0.2">
      <c r="A467" s="2">
        <v>44767</v>
      </c>
      <c r="B467" s="1" t="s">
        <v>171</v>
      </c>
      <c r="C467" s="1" t="s">
        <v>3</v>
      </c>
      <c r="D467" s="1">
        <v>133650</v>
      </c>
      <c r="E467" s="3">
        <v>40142.589999999997</v>
      </c>
      <c r="F467" s="1" t="s">
        <v>4</v>
      </c>
    </row>
    <row r="468" spans="1:6" x14ac:dyDescent="0.2">
      <c r="A468" s="2">
        <v>44767</v>
      </c>
      <c r="B468" s="1" t="s">
        <v>25</v>
      </c>
      <c r="C468" s="1" t="s">
        <v>3</v>
      </c>
      <c r="D468" s="1">
        <v>133651</v>
      </c>
      <c r="E468" s="3">
        <v>88560</v>
      </c>
      <c r="F468" s="1" t="s">
        <v>8</v>
      </c>
    </row>
    <row r="469" spans="1:6" x14ac:dyDescent="0.2">
      <c r="A469" s="2">
        <v>44767</v>
      </c>
      <c r="B469" s="1" t="s">
        <v>123</v>
      </c>
      <c r="C469" s="1" t="s">
        <v>3</v>
      </c>
      <c r="D469" s="1">
        <v>133652</v>
      </c>
      <c r="E469" s="3">
        <v>6517.24</v>
      </c>
      <c r="F469" s="1" t="s">
        <v>11</v>
      </c>
    </row>
    <row r="470" spans="1:6" x14ac:dyDescent="0.2">
      <c r="A470" s="2">
        <v>44767</v>
      </c>
      <c r="B470" s="1" t="s">
        <v>80</v>
      </c>
      <c r="C470" s="1" t="s">
        <v>3</v>
      </c>
      <c r="D470" s="1">
        <v>133653</v>
      </c>
      <c r="E470" s="3">
        <v>37202.589999999997</v>
      </c>
      <c r="F470" s="1" t="s">
        <v>11</v>
      </c>
    </row>
    <row r="471" spans="1:6" x14ac:dyDescent="0.2">
      <c r="A471" s="2">
        <v>44767</v>
      </c>
      <c r="B471" s="1" t="s">
        <v>68</v>
      </c>
      <c r="C471" s="1" t="s">
        <v>3</v>
      </c>
      <c r="D471" s="1">
        <v>133654</v>
      </c>
      <c r="E471" s="3">
        <v>2137.9899999999998</v>
      </c>
      <c r="F471" s="1" t="s">
        <v>8</v>
      </c>
    </row>
    <row r="472" spans="1:6" x14ac:dyDescent="0.2">
      <c r="A472" s="2">
        <v>44767</v>
      </c>
      <c r="B472" s="1" t="s">
        <v>231</v>
      </c>
      <c r="C472" s="1" t="s">
        <v>3</v>
      </c>
      <c r="D472" s="1">
        <v>133655</v>
      </c>
      <c r="E472" s="3">
        <v>118080</v>
      </c>
      <c r="F472" s="1" t="s">
        <v>8</v>
      </c>
    </row>
    <row r="473" spans="1:6" x14ac:dyDescent="0.2">
      <c r="A473" s="2">
        <v>44767</v>
      </c>
      <c r="B473" s="1" t="s">
        <v>167</v>
      </c>
      <c r="C473" s="1" t="s">
        <v>3</v>
      </c>
      <c r="D473" s="1">
        <v>133656</v>
      </c>
      <c r="E473" s="3">
        <v>7064.48</v>
      </c>
      <c r="F473" s="1" t="s">
        <v>11</v>
      </c>
    </row>
    <row r="474" spans="1:6" x14ac:dyDescent="0.2">
      <c r="A474" s="2">
        <v>44767</v>
      </c>
      <c r="B474" s="1" t="s">
        <v>115</v>
      </c>
      <c r="C474" s="1" t="s">
        <v>3</v>
      </c>
      <c r="D474" s="1">
        <v>133657</v>
      </c>
      <c r="E474" s="3">
        <v>31131.49</v>
      </c>
      <c r="F474" s="1" t="s">
        <v>11</v>
      </c>
    </row>
    <row r="475" spans="1:6" x14ac:dyDescent="0.2">
      <c r="A475" s="2">
        <v>44767</v>
      </c>
      <c r="B475" s="1" t="s">
        <v>63</v>
      </c>
      <c r="C475" s="1" t="s">
        <v>3</v>
      </c>
      <c r="D475" s="1">
        <v>133659</v>
      </c>
      <c r="E475" s="3">
        <v>76752</v>
      </c>
      <c r="F475" s="1" t="s">
        <v>8</v>
      </c>
    </row>
    <row r="476" spans="1:6" x14ac:dyDescent="0.2">
      <c r="A476" s="2">
        <v>44767</v>
      </c>
      <c r="B476" s="1" t="s">
        <v>54</v>
      </c>
      <c r="C476" s="1" t="s">
        <v>249</v>
      </c>
      <c r="D476" s="1">
        <v>133661</v>
      </c>
      <c r="E476" s="3">
        <v>166924.85</v>
      </c>
      <c r="F476" s="1" t="s">
        <v>256</v>
      </c>
    </row>
    <row r="477" spans="1:6" x14ac:dyDescent="0.2">
      <c r="A477" s="2">
        <v>44767</v>
      </c>
      <c r="B477" s="1" t="s">
        <v>158</v>
      </c>
      <c r="C477" s="1" t="s">
        <v>3</v>
      </c>
      <c r="D477" s="1">
        <v>133663</v>
      </c>
      <c r="E477" s="3">
        <v>65889.429999999993</v>
      </c>
      <c r="F477" s="1" t="s">
        <v>11</v>
      </c>
    </row>
    <row r="478" spans="1:6" x14ac:dyDescent="0.2">
      <c r="A478" s="2">
        <v>44767</v>
      </c>
      <c r="B478" s="1" t="s">
        <v>63</v>
      </c>
      <c r="C478" s="1" t="s">
        <v>3</v>
      </c>
      <c r="D478" s="1">
        <v>133678</v>
      </c>
      <c r="E478" s="3">
        <v>65952.490000000005</v>
      </c>
      <c r="F478" s="1" t="s">
        <v>8</v>
      </c>
    </row>
    <row r="479" spans="1:6" x14ac:dyDescent="0.2">
      <c r="A479" s="2">
        <v>44767</v>
      </c>
      <c r="B479" s="1" t="s">
        <v>218</v>
      </c>
      <c r="C479" s="1" t="s">
        <v>3</v>
      </c>
      <c r="D479" s="1">
        <v>133684</v>
      </c>
      <c r="E479" s="3">
        <v>8699.0300000000007</v>
      </c>
      <c r="F479" s="1" t="s">
        <v>16</v>
      </c>
    </row>
    <row r="480" spans="1:6" x14ac:dyDescent="0.2">
      <c r="A480" s="2">
        <v>44767</v>
      </c>
      <c r="B480" s="1" t="s">
        <v>61</v>
      </c>
      <c r="C480" s="1" t="s">
        <v>251</v>
      </c>
      <c r="D480" s="1">
        <v>133686</v>
      </c>
      <c r="E480" s="3">
        <v>46113.38</v>
      </c>
      <c r="F480" s="1" t="s">
        <v>11</v>
      </c>
    </row>
    <row r="481" spans="1:6" x14ac:dyDescent="0.2">
      <c r="A481" s="2">
        <v>44767</v>
      </c>
      <c r="B481" s="1" t="s">
        <v>47</v>
      </c>
      <c r="C481" s="1" t="s">
        <v>3</v>
      </c>
      <c r="D481" s="1">
        <v>133695</v>
      </c>
      <c r="E481" s="3">
        <v>27607.24</v>
      </c>
      <c r="F481" s="1" t="s">
        <v>9</v>
      </c>
    </row>
    <row r="482" spans="1:6" x14ac:dyDescent="0.2">
      <c r="A482" s="2">
        <v>44767</v>
      </c>
      <c r="B482" s="1" t="s">
        <v>226</v>
      </c>
      <c r="C482" s="1" t="s">
        <v>3</v>
      </c>
      <c r="D482" s="1">
        <v>133696</v>
      </c>
      <c r="E482" s="3">
        <v>21670.86</v>
      </c>
      <c r="F482" s="1" t="s">
        <v>9</v>
      </c>
    </row>
    <row r="483" spans="1:6" x14ac:dyDescent="0.2">
      <c r="A483" s="2">
        <v>44768</v>
      </c>
      <c r="B483" s="1" t="s">
        <v>72</v>
      </c>
      <c r="C483" s="1" t="s">
        <v>3</v>
      </c>
      <c r="D483" s="1">
        <v>133700</v>
      </c>
      <c r="E483" s="3">
        <v>57240.49</v>
      </c>
      <c r="F483" s="1" t="s">
        <v>8</v>
      </c>
    </row>
    <row r="484" spans="1:6" x14ac:dyDescent="0.2">
      <c r="A484" s="2">
        <v>44768</v>
      </c>
      <c r="B484" s="1" t="s">
        <v>68</v>
      </c>
      <c r="C484" s="1" t="s">
        <v>3</v>
      </c>
      <c r="D484" s="1">
        <v>133702</v>
      </c>
      <c r="E484" s="3">
        <v>264692.42</v>
      </c>
      <c r="F484" s="1" t="s">
        <v>8</v>
      </c>
    </row>
    <row r="485" spans="1:6" x14ac:dyDescent="0.2">
      <c r="A485" s="2">
        <v>44768</v>
      </c>
      <c r="B485" s="1" t="s">
        <v>70</v>
      </c>
      <c r="C485" s="1" t="s">
        <v>3</v>
      </c>
      <c r="D485" s="1">
        <v>133703</v>
      </c>
      <c r="E485" s="3">
        <v>98926.93</v>
      </c>
      <c r="F485" s="1" t="s">
        <v>8</v>
      </c>
    </row>
    <row r="486" spans="1:6" x14ac:dyDescent="0.2">
      <c r="A486" s="2">
        <v>44768</v>
      </c>
      <c r="B486" s="1" t="s">
        <v>102</v>
      </c>
      <c r="C486" s="1" t="s">
        <v>3</v>
      </c>
      <c r="D486" s="1">
        <v>133704</v>
      </c>
      <c r="E486" s="3">
        <v>52434.49</v>
      </c>
      <c r="F486" s="1" t="s">
        <v>8</v>
      </c>
    </row>
    <row r="487" spans="1:6" x14ac:dyDescent="0.2">
      <c r="A487" s="2">
        <v>44768</v>
      </c>
      <c r="B487" s="1" t="s">
        <v>67</v>
      </c>
      <c r="C487" s="1" t="s">
        <v>3</v>
      </c>
      <c r="D487" s="1">
        <v>133706</v>
      </c>
      <c r="E487" s="3">
        <v>18540.490000000002</v>
      </c>
      <c r="F487" s="1" t="s">
        <v>8</v>
      </c>
    </row>
    <row r="488" spans="1:6" x14ac:dyDescent="0.2">
      <c r="A488" s="2">
        <v>44768</v>
      </c>
      <c r="B488" s="1" t="s">
        <v>231</v>
      </c>
      <c r="C488" s="1" t="s">
        <v>3</v>
      </c>
      <c r="D488" s="1">
        <v>133707</v>
      </c>
      <c r="E488" s="3">
        <v>122760</v>
      </c>
      <c r="F488" s="1" t="s">
        <v>8</v>
      </c>
    </row>
    <row r="489" spans="1:6" x14ac:dyDescent="0.2">
      <c r="A489" s="2">
        <v>44768</v>
      </c>
      <c r="B489" s="1" t="s">
        <v>65</v>
      </c>
      <c r="C489" s="1" t="s">
        <v>3</v>
      </c>
      <c r="D489" s="1">
        <v>133708</v>
      </c>
      <c r="E489" s="3">
        <v>176122.17</v>
      </c>
      <c r="F489" s="1" t="s">
        <v>8</v>
      </c>
    </row>
    <row r="490" spans="1:6" x14ac:dyDescent="0.2">
      <c r="A490" s="2">
        <v>44768</v>
      </c>
      <c r="B490" s="1" t="s">
        <v>64</v>
      </c>
      <c r="C490" s="1" t="s">
        <v>3</v>
      </c>
      <c r="D490" s="1">
        <v>133709</v>
      </c>
      <c r="E490" s="3">
        <v>61514.93</v>
      </c>
      <c r="F490" s="1" t="s">
        <v>8</v>
      </c>
    </row>
    <row r="491" spans="1:6" x14ac:dyDescent="0.2">
      <c r="A491" s="2">
        <v>44768</v>
      </c>
      <c r="B491" s="1" t="s">
        <v>51</v>
      </c>
      <c r="C491" s="1" t="s">
        <v>249</v>
      </c>
      <c r="D491" s="1">
        <v>133711</v>
      </c>
      <c r="E491" s="3">
        <v>119610.02</v>
      </c>
      <c r="F491" s="1" t="s">
        <v>11</v>
      </c>
    </row>
    <row r="492" spans="1:6" x14ac:dyDescent="0.2">
      <c r="A492" s="2">
        <v>44768</v>
      </c>
      <c r="B492" s="1" t="s">
        <v>69</v>
      </c>
      <c r="C492" s="1" t="s">
        <v>3</v>
      </c>
      <c r="D492" s="1">
        <v>133712</v>
      </c>
      <c r="E492" s="3">
        <v>103355.97</v>
      </c>
      <c r="F492" s="1" t="s">
        <v>8</v>
      </c>
    </row>
    <row r="493" spans="1:6" x14ac:dyDescent="0.2">
      <c r="A493" s="2">
        <v>44768</v>
      </c>
      <c r="B493" s="1" t="s">
        <v>76</v>
      </c>
      <c r="C493" s="1" t="s">
        <v>249</v>
      </c>
      <c r="D493" s="1">
        <v>133713</v>
      </c>
      <c r="E493" s="3">
        <v>65077.46</v>
      </c>
      <c r="F493" s="1" t="s">
        <v>8</v>
      </c>
    </row>
    <row r="494" spans="1:6" x14ac:dyDescent="0.2">
      <c r="A494" s="2">
        <v>44768</v>
      </c>
      <c r="B494" s="1" t="s">
        <v>71</v>
      </c>
      <c r="C494" s="1" t="s">
        <v>3</v>
      </c>
      <c r="D494" s="1">
        <v>133714</v>
      </c>
      <c r="E494" s="3">
        <v>107118.49</v>
      </c>
      <c r="F494" s="1" t="s">
        <v>8</v>
      </c>
    </row>
    <row r="495" spans="1:6" x14ac:dyDescent="0.2">
      <c r="A495" s="2">
        <v>44768</v>
      </c>
      <c r="B495" s="1" t="s">
        <v>165</v>
      </c>
      <c r="C495" s="1" t="s">
        <v>3</v>
      </c>
      <c r="D495" s="1">
        <v>133718</v>
      </c>
      <c r="E495" s="3">
        <v>35985.54</v>
      </c>
      <c r="F495" s="1" t="s">
        <v>9</v>
      </c>
    </row>
    <row r="496" spans="1:6" x14ac:dyDescent="0.2">
      <c r="A496" s="2">
        <v>44768</v>
      </c>
      <c r="B496" s="1" t="s">
        <v>209</v>
      </c>
      <c r="C496" s="1" t="s">
        <v>3</v>
      </c>
      <c r="D496" s="1">
        <v>133719</v>
      </c>
      <c r="E496" s="3">
        <v>19876.54</v>
      </c>
      <c r="F496" s="1" t="s">
        <v>9</v>
      </c>
    </row>
    <row r="497" spans="1:6" x14ac:dyDescent="0.2">
      <c r="A497" s="2">
        <v>44768</v>
      </c>
      <c r="B497" s="1" t="s">
        <v>48</v>
      </c>
      <c r="C497" s="1" t="s">
        <v>3</v>
      </c>
      <c r="D497" s="1">
        <v>133720</v>
      </c>
      <c r="E497" s="3">
        <v>63431.91</v>
      </c>
      <c r="F497" s="1" t="s">
        <v>9</v>
      </c>
    </row>
    <row r="498" spans="1:6" x14ac:dyDescent="0.2">
      <c r="A498" s="2">
        <v>44768</v>
      </c>
      <c r="B498" s="1" t="s">
        <v>113</v>
      </c>
      <c r="C498" s="1" t="s">
        <v>3</v>
      </c>
      <c r="D498" s="1">
        <v>133722</v>
      </c>
      <c r="E498" s="3">
        <v>85191.98</v>
      </c>
      <c r="F498" s="1" t="s">
        <v>9</v>
      </c>
    </row>
    <row r="499" spans="1:6" x14ac:dyDescent="0.2">
      <c r="A499" s="2">
        <v>44768</v>
      </c>
      <c r="B499" s="1" t="s">
        <v>43</v>
      </c>
      <c r="C499" s="1" t="s">
        <v>3</v>
      </c>
      <c r="D499" s="1">
        <v>133723</v>
      </c>
      <c r="E499" s="3">
        <v>11655.69</v>
      </c>
      <c r="F499" s="1" t="s">
        <v>9</v>
      </c>
    </row>
    <row r="500" spans="1:6" x14ac:dyDescent="0.2">
      <c r="A500" s="2">
        <v>44768</v>
      </c>
      <c r="B500" s="1" t="s">
        <v>94</v>
      </c>
      <c r="C500" s="1" t="s">
        <v>3</v>
      </c>
      <c r="D500" s="1">
        <v>133724</v>
      </c>
      <c r="E500" s="3">
        <v>6389.48</v>
      </c>
      <c r="F500" s="1" t="s">
        <v>9</v>
      </c>
    </row>
    <row r="501" spans="1:6" x14ac:dyDescent="0.2">
      <c r="A501" s="2">
        <v>44768</v>
      </c>
      <c r="B501" s="1" t="s">
        <v>112</v>
      </c>
      <c r="C501" s="1" t="s">
        <v>3</v>
      </c>
      <c r="D501" s="1">
        <v>133727</v>
      </c>
      <c r="E501" s="3">
        <v>72983.62</v>
      </c>
      <c r="F501" s="1" t="s">
        <v>9</v>
      </c>
    </row>
    <row r="502" spans="1:6" x14ac:dyDescent="0.2">
      <c r="A502" s="2">
        <v>44768</v>
      </c>
      <c r="B502" s="1" t="s">
        <v>99</v>
      </c>
      <c r="C502" s="1" t="s">
        <v>3</v>
      </c>
      <c r="D502" s="1">
        <v>133728</v>
      </c>
      <c r="E502" s="3">
        <v>3394.4</v>
      </c>
      <c r="F502" s="1" t="s">
        <v>11</v>
      </c>
    </row>
    <row r="503" spans="1:6" x14ac:dyDescent="0.2">
      <c r="A503" s="2">
        <v>44768</v>
      </c>
      <c r="B503" s="1" t="s">
        <v>81</v>
      </c>
      <c r="C503" s="1" t="s">
        <v>3</v>
      </c>
      <c r="D503" s="1">
        <v>133729</v>
      </c>
      <c r="E503" s="3">
        <v>5306.05</v>
      </c>
      <c r="F503" s="1" t="s">
        <v>11</v>
      </c>
    </row>
    <row r="504" spans="1:6" x14ac:dyDescent="0.2">
      <c r="A504" s="2">
        <v>44768</v>
      </c>
      <c r="B504" s="1" t="s">
        <v>221</v>
      </c>
      <c r="C504" s="1" t="s">
        <v>3</v>
      </c>
      <c r="D504" s="1">
        <v>133730</v>
      </c>
      <c r="E504" s="3">
        <v>4306.03</v>
      </c>
      <c r="F504" s="1" t="s">
        <v>11</v>
      </c>
    </row>
    <row r="505" spans="1:6" x14ac:dyDescent="0.2">
      <c r="A505" s="2">
        <v>44768</v>
      </c>
      <c r="B505" s="1" t="s">
        <v>84</v>
      </c>
      <c r="C505" s="1" t="s">
        <v>3</v>
      </c>
      <c r="D505" s="1">
        <v>133731</v>
      </c>
      <c r="E505" s="3">
        <v>21104.73</v>
      </c>
      <c r="F505" s="1" t="s">
        <v>11</v>
      </c>
    </row>
    <row r="506" spans="1:6" x14ac:dyDescent="0.2">
      <c r="A506" s="2">
        <v>44768</v>
      </c>
      <c r="B506" s="1" t="s">
        <v>232</v>
      </c>
      <c r="C506" s="1" t="s">
        <v>251</v>
      </c>
      <c r="D506" s="1">
        <v>133732</v>
      </c>
      <c r="E506" s="3">
        <v>24048.61</v>
      </c>
      <c r="F506" s="1" t="s">
        <v>11</v>
      </c>
    </row>
    <row r="507" spans="1:6" x14ac:dyDescent="0.2">
      <c r="A507" s="2">
        <v>44768</v>
      </c>
      <c r="B507" s="1" t="s">
        <v>233</v>
      </c>
      <c r="C507" s="1" t="s">
        <v>3</v>
      </c>
      <c r="D507" s="1">
        <v>133734</v>
      </c>
      <c r="E507" s="3">
        <v>20602.759999999998</v>
      </c>
      <c r="F507" s="1" t="s">
        <v>11</v>
      </c>
    </row>
    <row r="508" spans="1:6" x14ac:dyDescent="0.2">
      <c r="A508" s="2">
        <v>44768</v>
      </c>
      <c r="B508" s="1" t="s">
        <v>234</v>
      </c>
      <c r="C508" s="1" t="s">
        <v>3</v>
      </c>
      <c r="D508" s="1">
        <v>133736</v>
      </c>
      <c r="E508" s="3">
        <v>36668.04</v>
      </c>
      <c r="F508" s="1" t="s">
        <v>13</v>
      </c>
    </row>
    <row r="509" spans="1:6" x14ac:dyDescent="0.2">
      <c r="A509" s="2">
        <v>44768</v>
      </c>
      <c r="B509" s="1" t="s">
        <v>235</v>
      </c>
      <c r="C509" s="1" t="s">
        <v>3</v>
      </c>
      <c r="D509" s="1">
        <v>133737</v>
      </c>
      <c r="E509" s="3">
        <v>86808.19</v>
      </c>
      <c r="F509" s="1" t="s">
        <v>4</v>
      </c>
    </row>
    <row r="510" spans="1:6" x14ac:dyDescent="0.2">
      <c r="A510" s="2">
        <v>44768</v>
      </c>
      <c r="B510" s="1" t="s">
        <v>20</v>
      </c>
      <c r="C510" s="1" t="s">
        <v>3</v>
      </c>
      <c r="D510" s="1">
        <v>133739</v>
      </c>
      <c r="E510" s="3">
        <v>86808.19</v>
      </c>
      <c r="F510" s="1" t="s">
        <v>4</v>
      </c>
    </row>
    <row r="511" spans="1:6" x14ac:dyDescent="0.2">
      <c r="A511" s="2">
        <v>44768</v>
      </c>
      <c r="B511" s="1" t="s">
        <v>82</v>
      </c>
      <c r="C511" s="1" t="s">
        <v>249</v>
      </c>
      <c r="D511" s="1">
        <v>133744</v>
      </c>
      <c r="E511" s="3">
        <v>46980.46</v>
      </c>
      <c r="F511" s="1" t="s">
        <v>11</v>
      </c>
    </row>
    <row r="512" spans="1:6" x14ac:dyDescent="0.2">
      <c r="A512" s="2">
        <v>44768</v>
      </c>
      <c r="B512" s="1" t="s">
        <v>177</v>
      </c>
      <c r="C512" s="1" t="s">
        <v>249</v>
      </c>
      <c r="D512" s="1">
        <v>133746</v>
      </c>
      <c r="E512" s="3">
        <v>50873.8</v>
      </c>
      <c r="F512" s="1" t="s">
        <v>9</v>
      </c>
    </row>
    <row r="513" spans="1:6" x14ac:dyDescent="0.2">
      <c r="A513" s="2">
        <v>44768</v>
      </c>
      <c r="B513" s="1" t="s">
        <v>75</v>
      </c>
      <c r="C513" s="1" t="s">
        <v>249</v>
      </c>
      <c r="D513" s="1">
        <v>133748</v>
      </c>
      <c r="E513" s="3">
        <v>4986</v>
      </c>
      <c r="F513" s="1" t="s">
        <v>8</v>
      </c>
    </row>
    <row r="514" spans="1:6" x14ac:dyDescent="0.2">
      <c r="A514" s="2">
        <v>44768</v>
      </c>
      <c r="B514" s="1" t="s">
        <v>236</v>
      </c>
      <c r="C514" s="1" t="s">
        <v>250</v>
      </c>
      <c r="D514" s="1">
        <v>133751</v>
      </c>
      <c r="E514" s="3">
        <v>6260</v>
      </c>
      <c r="F514" s="1" t="s">
        <v>9</v>
      </c>
    </row>
    <row r="515" spans="1:6" x14ac:dyDescent="0.2">
      <c r="A515" s="2">
        <v>44768</v>
      </c>
      <c r="B515" s="1" t="s">
        <v>194</v>
      </c>
      <c r="C515" s="1" t="s">
        <v>251</v>
      </c>
      <c r="D515" s="1">
        <v>133753</v>
      </c>
      <c r="E515" s="3">
        <v>95471.18</v>
      </c>
      <c r="F515" s="1" t="s">
        <v>4</v>
      </c>
    </row>
    <row r="516" spans="1:6" x14ac:dyDescent="0.2">
      <c r="A516" s="2">
        <v>44768</v>
      </c>
      <c r="B516" s="1" t="s">
        <v>153</v>
      </c>
      <c r="C516" s="1" t="s">
        <v>3</v>
      </c>
      <c r="D516" s="1">
        <v>133762</v>
      </c>
      <c r="E516" s="3">
        <v>106552.79</v>
      </c>
      <c r="F516" s="1" t="s">
        <v>9</v>
      </c>
    </row>
    <row r="517" spans="1:6" x14ac:dyDescent="0.2">
      <c r="A517" s="2">
        <v>44769</v>
      </c>
      <c r="B517" s="1" t="s">
        <v>191</v>
      </c>
      <c r="C517" s="1" t="s">
        <v>3</v>
      </c>
      <c r="D517" s="1">
        <v>133779</v>
      </c>
      <c r="E517" s="3">
        <v>17529.2</v>
      </c>
      <c r="F517" s="1" t="s">
        <v>13</v>
      </c>
    </row>
    <row r="518" spans="1:6" x14ac:dyDescent="0.2">
      <c r="A518" s="2">
        <v>44769</v>
      </c>
      <c r="B518" s="1" t="s">
        <v>28</v>
      </c>
      <c r="C518" s="1" t="s">
        <v>3</v>
      </c>
      <c r="D518" s="1">
        <v>133780</v>
      </c>
      <c r="E518" s="3">
        <v>303114.38</v>
      </c>
      <c r="F518" s="1" t="s">
        <v>4</v>
      </c>
    </row>
    <row r="519" spans="1:6" x14ac:dyDescent="0.2">
      <c r="A519" s="2">
        <v>44769</v>
      </c>
      <c r="B519" s="1" t="s">
        <v>140</v>
      </c>
      <c r="C519" s="1" t="s">
        <v>3</v>
      </c>
      <c r="D519" s="1">
        <v>133781</v>
      </c>
      <c r="E519" s="3">
        <v>49323.11</v>
      </c>
      <c r="F519" s="1" t="s">
        <v>8</v>
      </c>
    </row>
    <row r="520" spans="1:6" x14ac:dyDescent="0.2">
      <c r="A520" s="2">
        <v>44769</v>
      </c>
      <c r="B520" s="1" t="s">
        <v>33</v>
      </c>
      <c r="C520" s="1" t="s">
        <v>3</v>
      </c>
      <c r="D520" s="1">
        <v>133785</v>
      </c>
      <c r="E520" s="3">
        <v>78448.009999999995</v>
      </c>
      <c r="F520" s="1" t="s">
        <v>4</v>
      </c>
    </row>
    <row r="521" spans="1:6" x14ac:dyDescent="0.2">
      <c r="A521" s="2">
        <v>44769</v>
      </c>
      <c r="B521" s="1" t="s">
        <v>25</v>
      </c>
      <c r="C521" s="1" t="s">
        <v>3</v>
      </c>
      <c r="D521" s="1">
        <v>133787</v>
      </c>
      <c r="E521" s="3">
        <v>93303.48</v>
      </c>
      <c r="F521" s="1" t="s">
        <v>8</v>
      </c>
    </row>
    <row r="522" spans="1:6" x14ac:dyDescent="0.2">
      <c r="A522" s="2">
        <v>44769</v>
      </c>
      <c r="B522" s="1" t="s">
        <v>98</v>
      </c>
      <c r="C522" s="1" t="s">
        <v>3</v>
      </c>
      <c r="D522" s="1">
        <v>133788</v>
      </c>
      <c r="E522" s="3">
        <v>25415.24</v>
      </c>
      <c r="F522" s="1" t="s">
        <v>9</v>
      </c>
    </row>
    <row r="523" spans="1:6" x14ac:dyDescent="0.2">
      <c r="A523" s="2">
        <v>44769</v>
      </c>
      <c r="B523" s="1" t="s">
        <v>70</v>
      </c>
      <c r="C523" s="1" t="s">
        <v>3</v>
      </c>
      <c r="D523" s="1">
        <v>133794</v>
      </c>
      <c r="E523" s="3">
        <v>53136</v>
      </c>
      <c r="F523" s="1" t="s">
        <v>8</v>
      </c>
    </row>
    <row r="524" spans="1:6" x14ac:dyDescent="0.2">
      <c r="A524" s="2">
        <v>44769</v>
      </c>
      <c r="B524" s="1" t="s">
        <v>106</v>
      </c>
      <c r="C524" s="1" t="s">
        <v>3</v>
      </c>
      <c r="D524" s="1">
        <v>133800</v>
      </c>
      <c r="E524" s="3">
        <v>38597.32</v>
      </c>
      <c r="F524" s="1" t="s">
        <v>9</v>
      </c>
    </row>
    <row r="525" spans="1:6" x14ac:dyDescent="0.2">
      <c r="A525" s="2">
        <v>44769</v>
      </c>
      <c r="B525" s="1" t="s">
        <v>75</v>
      </c>
      <c r="C525" s="1" t="s">
        <v>249</v>
      </c>
      <c r="D525" s="1">
        <v>133804</v>
      </c>
      <c r="E525" s="3">
        <v>28138.5</v>
      </c>
      <c r="F525" s="1" t="s">
        <v>8</v>
      </c>
    </row>
    <row r="526" spans="1:6" x14ac:dyDescent="0.2">
      <c r="A526" s="2">
        <v>44769</v>
      </c>
      <c r="B526" s="1" t="s">
        <v>173</v>
      </c>
      <c r="C526" s="1" t="s">
        <v>249</v>
      </c>
      <c r="D526" s="1">
        <v>133807</v>
      </c>
      <c r="E526" s="3">
        <v>29576.9</v>
      </c>
      <c r="F526" s="1" t="s">
        <v>4</v>
      </c>
    </row>
    <row r="527" spans="1:6" x14ac:dyDescent="0.2">
      <c r="A527" s="2">
        <v>44770</v>
      </c>
      <c r="B527" s="1" t="s">
        <v>237</v>
      </c>
      <c r="C527" s="1" t="s">
        <v>251</v>
      </c>
      <c r="D527" s="1">
        <v>133827</v>
      </c>
      <c r="E527" s="3">
        <v>34253.64</v>
      </c>
      <c r="F527" s="1" t="s">
        <v>6</v>
      </c>
    </row>
    <row r="528" spans="1:6" x14ac:dyDescent="0.2">
      <c r="A528" s="2">
        <v>44770</v>
      </c>
      <c r="B528" s="1" t="s">
        <v>238</v>
      </c>
      <c r="C528" s="1" t="s">
        <v>3</v>
      </c>
      <c r="D528" s="1">
        <v>133828</v>
      </c>
      <c r="E528" s="3">
        <v>83649.100000000006</v>
      </c>
      <c r="F528" s="1" t="s">
        <v>6</v>
      </c>
    </row>
    <row r="529" spans="1:6" x14ac:dyDescent="0.2">
      <c r="A529" s="2">
        <v>44770</v>
      </c>
      <c r="B529" s="1" t="s">
        <v>21</v>
      </c>
      <c r="C529" s="1" t="s">
        <v>3</v>
      </c>
      <c r="D529" s="1">
        <v>133846</v>
      </c>
      <c r="E529" s="3">
        <v>34403.279999999999</v>
      </c>
      <c r="F529" s="1" t="s">
        <v>4</v>
      </c>
    </row>
    <row r="530" spans="1:6" x14ac:dyDescent="0.2">
      <c r="A530" s="2">
        <v>44770</v>
      </c>
      <c r="B530" s="1" t="s">
        <v>38</v>
      </c>
      <c r="C530" s="1" t="s">
        <v>3</v>
      </c>
      <c r="D530" s="1">
        <v>133857</v>
      </c>
      <c r="E530" s="3">
        <v>21559.39</v>
      </c>
      <c r="F530" s="1" t="s">
        <v>4</v>
      </c>
    </row>
    <row r="531" spans="1:6" x14ac:dyDescent="0.2">
      <c r="A531" s="2">
        <v>44770</v>
      </c>
      <c r="B531" s="1" t="s">
        <v>32</v>
      </c>
      <c r="C531" s="1" t="s">
        <v>3</v>
      </c>
      <c r="D531" s="1">
        <v>133861</v>
      </c>
      <c r="E531" s="3">
        <v>142539.28</v>
      </c>
      <c r="F531" s="1" t="s">
        <v>4</v>
      </c>
    </row>
    <row r="532" spans="1:6" x14ac:dyDescent="0.2">
      <c r="A532" s="2">
        <v>44770</v>
      </c>
      <c r="B532" s="1" t="s">
        <v>53</v>
      </c>
      <c r="C532" s="1" t="s">
        <v>3</v>
      </c>
      <c r="D532" s="1">
        <v>133863</v>
      </c>
      <c r="E532" s="3">
        <v>95152.24</v>
      </c>
      <c r="F532" s="1" t="s">
        <v>4</v>
      </c>
    </row>
    <row r="533" spans="1:6" x14ac:dyDescent="0.2">
      <c r="A533" s="2">
        <v>44770</v>
      </c>
      <c r="B533" s="1" t="s">
        <v>62</v>
      </c>
      <c r="C533" s="1" t="s">
        <v>251</v>
      </c>
      <c r="D533" s="1">
        <v>133864</v>
      </c>
      <c r="E533" s="3">
        <v>2926.72</v>
      </c>
      <c r="F533" s="1" t="s">
        <v>4</v>
      </c>
    </row>
    <row r="534" spans="1:6" x14ac:dyDescent="0.2">
      <c r="A534" s="2">
        <v>44770</v>
      </c>
      <c r="B534" s="1" t="s">
        <v>34</v>
      </c>
      <c r="C534" s="1" t="s">
        <v>3</v>
      </c>
      <c r="D534" s="1">
        <v>133866</v>
      </c>
      <c r="E534" s="3">
        <v>43803.43</v>
      </c>
      <c r="F534" s="1" t="s">
        <v>4</v>
      </c>
    </row>
    <row r="535" spans="1:6" x14ac:dyDescent="0.2">
      <c r="A535" s="2">
        <v>44771</v>
      </c>
      <c r="B535" s="1" t="s">
        <v>102</v>
      </c>
      <c r="C535" s="1" t="s">
        <v>3</v>
      </c>
      <c r="D535" s="1">
        <v>133876</v>
      </c>
      <c r="E535" s="3">
        <v>9009</v>
      </c>
      <c r="F535" s="1" t="s">
        <v>8</v>
      </c>
    </row>
    <row r="536" spans="1:6" x14ac:dyDescent="0.2">
      <c r="A536" s="2">
        <v>44771</v>
      </c>
      <c r="B536" s="1" t="s">
        <v>70</v>
      </c>
      <c r="C536" s="1" t="s">
        <v>3</v>
      </c>
      <c r="D536" s="1">
        <v>133877</v>
      </c>
      <c r="E536" s="3">
        <v>106704.49</v>
      </c>
      <c r="F536" s="1" t="s">
        <v>8</v>
      </c>
    </row>
    <row r="537" spans="1:6" x14ac:dyDescent="0.2">
      <c r="A537" s="2">
        <v>44771</v>
      </c>
      <c r="B537" s="1" t="s">
        <v>69</v>
      </c>
      <c r="C537" s="1" t="s">
        <v>3</v>
      </c>
      <c r="D537" s="1">
        <v>133878</v>
      </c>
      <c r="E537" s="3">
        <v>102745.45</v>
      </c>
      <c r="F537" s="1" t="s">
        <v>8</v>
      </c>
    </row>
    <row r="538" spans="1:6" x14ac:dyDescent="0.2">
      <c r="A538" s="2">
        <v>44771</v>
      </c>
      <c r="B538" s="1" t="s">
        <v>63</v>
      </c>
      <c r="C538" s="1" t="s">
        <v>3</v>
      </c>
      <c r="D538" s="1">
        <v>133879</v>
      </c>
      <c r="E538" s="3">
        <v>79458</v>
      </c>
      <c r="F538" s="1" t="s">
        <v>8</v>
      </c>
    </row>
    <row r="539" spans="1:6" x14ac:dyDescent="0.2">
      <c r="A539" s="2">
        <v>44771</v>
      </c>
      <c r="B539" s="1" t="s">
        <v>68</v>
      </c>
      <c r="C539" s="1" t="s">
        <v>3</v>
      </c>
      <c r="D539" s="1">
        <v>133880</v>
      </c>
      <c r="E539" s="3">
        <v>316336.88</v>
      </c>
      <c r="F539" s="1" t="s">
        <v>8</v>
      </c>
    </row>
    <row r="540" spans="1:6" x14ac:dyDescent="0.2">
      <c r="A540" s="2">
        <v>44771</v>
      </c>
      <c r="B540" s="1" t="s">
        <v>64</v>
      </c>
      <c r="C540" s="1" t="s">
        <v>3</v>
      </c>
      <c r="D540" s="1">
        <v>133881</v>
      </c>
      <c r="E540" s="3">
        <v>74034</v>
      </c>
      <c r="F540" s="1" t="s">
        <v>8</v>
      </c>
    </row>
    <row r="541" spans="1:6" x14ac:dyDescent="0.2">
      <c r="A541" s="2">
        <v>44771</v>
      </c>
      <c r="B541" s="1" t="s">
        <v>65</v>
      </c>
      <c r="C541" s="1" t="s">
        <v>3</v>
      </c>
      <c r="D541" s="1">
        <v>133882</v>
      </c>
      <c r="E541" s="3">
        <v>194450.47</v>
      </c>
      <c r="F541" s="1" t="s">
        <v>8</v>
      </c>
    </row>
    <row r="542" spans="1:6" x14ac:dyDescent="0.2">
      <c r="A542" s="2">
        <v>44771</v>
      </c>
      <c r="B542" s="1" t="s">
        <v>71</v>
      </c>
      <c r="C542" s="1" t="s">
        <v>3</v>
      </c>
      <c r="D542" s="1">
        <v>133883</v>
      </c>
      <c r="E542" s="3">
        <v>112158.68</v>
      </c>
      <c r="F542" s="1" t="s">
        <v>8</v>
      </c>
    </row>
    <row r="543" spans="1:6" x14ac:dyDescent="0.2">
      <c r="A543" s="2">
        <v>44771</v>
      </c>
      <c r="B543" s="1" t="s">
        <v>140</v>
      </c>
      <c r="C543" s="1" t="s">
        <v>3</v>
      </c>
      <c r="D543" s="1">
        <v>133884</v>
      </c>
      <c r="E543" s="3">
        <v>5391</v>
      </c>
      <c r="F543" s="1" t="s">
        <v>8</v>
      </c>
    </row>
    <row r="544" spans="1:6" x14ac:dyDescent="0.2">
      <c r="A544" s="2">
        <v>44771</v>
      </c>
      <c r="B544" s="1" t="s">
        <v>67</v>
      </c>
      <c r="C544" s="1" t="s">
        <v>3</v>
      </c>
      <c r="D544" s="1">
        <v>133885</v>
      </c>
      <c r="E544" s="3">
        <v>20785.990000000002</v>
      </c>
      <c r="F544" s="1" t="s">
        <v>8</v>
      </c>
    </row>
    <row r="545" spans="1:6" x14ac:dyDescent="0.2">
      <c r="A545" s="2">
        <v>44771</v>
      </c>
      <c r="B545" s="1" t="s">
        <v>66</v>
      </c>
      <c r="C545" s="1" t="s">
        <v>3</v>
      </c>
      <c r="D545" s="1">
        <v>133886</v>
      </c>
      <c r="E545" s="3">
        <v>139716.97</v>
      </c>
      <c r="F545" s="1" t="s">
        <v>8</v>
      </c>
    </row>
    <row r="546" spans="1:6" x14ac:dyDescent="0.2">
      <c r="A546" s="2">
        <v>44771</v>
      </c>
      <c r="B546" s="1" t="s">
        <v>36</v>
      </c>
      <c r="C546" s="1" t="s">
        <v>3</v>
      </c>
      <c r="D546" s="1">
        <v>133887</v>
      </c>
      <c r="E546" s="3">
        <v>69106.710000000006</v>
      </c>
      <c r="F546" s="1" t="s">
        <v>4</v>
      </c>
    </row>
    <row r="547" spans="1:6" x14ac:dyDescent="0.2">
      <c r="A547" s="2">
        <v>44771</v>
      </c>
      <c r="B547" s="1" t="s">
        <v>19</v>
      </c>
      <c r="C547" s="1" t="s">
        <v>3</v>
      </c>
      <c r="D547" s="1">
        <v>133888</v>
      </c>
      <c r="E547" s="3">
        <v>51697.59</v>
      </c>
      <c r="F547" s="1" t="s">
        <v>4</v>
      </c>
    </row>
    <row r="548" spans="1:6" x14ac:dyDescent="0.2">
      <c r="A548" s="2">
        <v>44771</v>
      </c>
      <c r="B548" s="1" t="s">
        <v>35</v>
      </c>
      <c r="C548" s="1" t="s">
        <v>3</v>
      </c>
      <c r="D548" s="1">
        <v>133892</v>
      </c>
      <c r="E548" s="3">
        <v>115755.03</v>
      </c>
      <c r="F548" s="1" t="s">
        <v>4</v>
      </c>
    </row>
    <row r="549" spans="1:6" x14ac:dyDescent="0.2">
      <c r="A549" s="2">
        <v>44771</v>
      </c>
      <c r="B549" s="1" t="s">
        <v>95</v>
      </c>
      <c r="C549" s="1" t="s">
        <v>252</v>
      </c>
      <c r="D549" s="1">
        <v>133893</v>
      </c>
      <c r="E549" s="3">
        <v>66989.899999999994</v>
      </c>
      <c r="F549" s="1" t="s">
        <v>4</v>
      </c>
    </row>
    <row r="550" spans="1:6" x14ac:dyDescent="0.2">
      <c r="A550" s="2">
        <v>44771</v>
      </c>
      <c r="B550" s="1" t="s">
        <v>31</v>
      </c>
      <c r="C550" s="1" t="s">
        <v>249</v>
      </c>
      <c r="D550" s="1">
        <v>133895</v>
      </c>
      <c r="E550" s="3">
        <v>12911.63</v>
      </c>
      <c r="F550" s="1" t="s">
        <v>4</v>
      </c>
    </row>
    <row r="551" spans="1:6" x14ac:dyDescent="0.2">
      <c r="A551" s="2">
        <v>44771</v>
      </c>
      <c r="B551" s="1" t="s">
        <v>87</v>
      </c>
      <c r="C551" s="1" t="s">
        <v>3</v>
      </c>
      <c r="D551" s="1">
        <v>133897</v>
      </c>
      <c r="E551" s="3">
        <v>56729.47</v>
      </c>
      <c r="F551" s="1" t="s">
        <v>10</v>
      </c>
    </row>
    <row r="552" spans="1:6" x14ac:dyDescent="0.2">
      <c r="A552" s="2">
        <v>44771</v>
      </c>
      <c r="B552" s="1" t="s">
        <v>120</v>
      </c>
      <c r="C552" s="1" t="s">
        <v>3</v>
      </c>
      <c r="D552" s="1">
        <v>133898</v>
      </c>
      <c r="E552" s="3">
        <v>40036.39</v>
      </c>
      <c r="F552" s="1" t="s">
        <v>13</v>
      </c>
    </row>
    <row r="553" spans="1:6" x14ac:dyDescent="0.2">
      <c r="A553" s="2">
        <v>44771</v>
      </c>
      <c r="B553" s="1" t="s">
        <v>212</v>
      </c>
      <c r="C553" s="1" t="s">
        <v>254</v>
      </c>
      <c r="D553" s="1">
        <v>133900</v>
      </c>
      <c r="E553" s="3">
        <v>25789.119999999999</v>
      </c>
      <c r="F553" s="1" t="s">
        <v>4</v>
      </c>
    </row>
    <row r="554" spans="1:6" x14ac:dyDescent="0.2">
      <c r="A554" s="2">
        <v>44771</v>
      </c>
      <c r="B554" s="1" t="s">
        <v>59</v>
      </c>
      <c r="C554" s="1" t="s">
        <v>249</v>
      </c>
      <c r="D554" s="1">
        <v>133902</v>
      </c>
      <c r="E554" s="3">
        <v>91272.09</v>
      </c>
      <c r="F554" s="1" t="s">
        <v>4</v>
      </c>
    </row>
    <row r="555" spans="1:6" x14ac:dyDescent="0.2">
      <c r="A555" s="2">
        <v>44771</v>
      </c>
      <c r="B555" s="1" t="s">
        <v>25</v>
      </c>
      <c r="C555" s="1" t="s">
        <v>3</v>
      </c>
      <c r="D555" s="1">
        <v>133904</v>
      </c>
      <c r="E555" s="3">
        <v>2412</v>
      </c>
      <c r="F555" s="1" t="s">
        <v>8</v>
      </c>
    </row>
    <row r="556" spans="1:6" x14ac:dyDescent="0.2">
      <c r="A556" s="2">
        <v>44771</v>
      </c>
      <c r="B556" s="1" t="s">
        <v>239</v>
      </c>
      <c r="C556" s="1" t="s">
        <v>3</v>
      </c>
      <c r="D556" s="1">
        <v>133906</v>
      </c>
      <c r="E556" s="3">
        <v>529064.97</v>
      </c>
      <c r="F556" s="1" t="s">
        <v>7</v>
      </c>
    </row>
    <row r="557" spans="1:6" x14ac:dyDescent="0.2">
      <c r="A557" s="2">
        <v>44771</v>
      </c>
      <c r="B557" s="1" t="s">
        <v>240</v>
      </c>
      <c r="C557" s="1" t="s">
        <v>251</v>
      </c>
      <c r="D557" s="1">
        <v>133907</v>
      </c>
      <c r="E557" s="3">
        <v>18052.189999999999</v>
      </c>
      <c r="F557" s="1" t="s">
        <v>6</v>
      </c>
    </row>
    <row r="558" spans="1:6" x14ac:dyDescent="0.2">
      <c r="A558" s="2">
        <v>44771</v>
      </c>
      <c r="B558" s="1" t="s">
        <v>241</v>
      </c>
      <c r="C558" s="1" t="s">
        <v>252</v>
      </c>
      <c r="D558" s="1">
        <v>133908</v>
      </c>
      <c r="E558" s="3">
        <v>23890.71</v>
      </c>
      <c r="F558" s="1" t="s">
        <v>6</v>
      </c>
    </row>
    <row r="559" spans="1:6" x14ac:dyDescent="0.2">
      <c r="A559" s="2">
        <v>44771</v>
      </c>
      <c r="B559" s="1" t="s">
        <v>242</v>
      </c>
      <c r="C559" s="1" t="s">
        <v>249</v>
      </c>
      <c r="D559" s="1">
        <v>133909</v>
      </c>
      <c r="E559" s="3">
        <v>13342.44</v>
      </c>
      <c r="F559" s="1" t="s">
        <v>6</v>
      </c>
    </row>
    <row r="560" spans="1:6" x14ac:dyDescent="0.2">
      <c r="A560" s="2">
        <v>44771</v>
      </c>
      <c r="B560" s="1" t="s">
        <v>63</v>
      </c>
      <c r="C560" s="1" t="s">
        <v>3</v>
      </c>
      <c r="D560" s="1">
        <v>133915</v>
      </c>
      <c r="E560" s="3">
        <v>12791.04</v>
      </c>
      <c r="F560" s="1" t="s">
        <v>8</v>
      </c>
    </row>
    <row r="561" spans="1:6" x14ac:dyDescent="0.2">
      <c r="A561" s="2">
        <v>44771</v>
      </c>
      <c r="B561" s="1" t="s">
        <v>25</v>
      </c>
      <c r="C561" s="1" t="s">
        <v>3</v>
      </c>
      <c r="D561" s="1">
        <v>133916</v>
      </c>
      <c r="E561" s="3">
        <v>14458.8</v>
      </c>
      <c r="F561" s="1" t="s">
        <v>8</v>
      </c>
    </row>
    <row r="562" spans="1:6" x14ac:dyDescent="0.2">
      <c r="A562" s="2">
        <v>44771</v>
      </c>
      <c r="B562" s="1" t="s">
        <v>29</v>
      </c>
      <c r="C562" s="1" t="s">
        <v>3</v>
      </c>
      <c r="D562" s="1">
        <v>133917</v>
      </c>
      <c r="E562" s="3">
        <v>66589.37</v>
      </c>
      <c r="F562" s="1" t="s">
        <v>4</v>
      </c>
    </row>
    <row r="563" spans="1:6" x14ac:dyDescent="0.2">
      <c r="A563" s="2">
        <v>44771</v>
      </c>
      <c r="B563" s="1" t="s">
        <v>243</v>
      </c>
      <c r="C563" s="1" t="s">
        <v>3</v>
      </c>
      <c r="D563" s="1">
        <v>133918</v>
      </c>
      <c r="E563" s="3">
        <v>8941.83</v>
      </c>
      <c r="F563" s="1" t="s">
        <v>11</v>
      </c>
    </row>
    <row r="564" spans="1:6" x14ac:dyDescent="0.2">
      <c r="A564" s="2">
        <v>44771</v>
      </c>
      <c r="B564" s="1" t="s">
        <v>142</v>
      </c>
      <c r="C564" s="1" t="s">
        <v>3</v>
      </c>
      <c r="D564" s="1">
        <v>133920</v>
      </c>
      <c r="E564" s="3">
        <v>84136.21</v>
      </c>
      <c r="F564" s="1" t="s">
        <v>11</v>
      </c>
    </row>
    <row r="565" spans="1:6" x14ac:dyDescent="0.2">
      <c r="A565" s="2">
        <v>44771</v>
      </c>
      <c r="B565" s="1" t="s">
        <v>49</v>
      </c>
      <c r="C565" s="1" t="s">
        <v>249</v>
      </c>
      <c r="D565" s="1">
        <v>133921</v>
      </c>
      <c r="E565" s="3">
        <v>88888.24</v>
      </c>
      <c r="F565" s="1" t="s">
        <v>11</v>
      </c>
    </row>
    <row r="566" spans="1:6" x14ac:dyDescent="0.2">
      <c r="A566" s="2">
        <v>44771</v>
      </c>
      <c r="B566" s="1" t="s">
        <v>71</v>
      </c>
      <c r="C566" s="1" t="s">
        <v>3</v>
      </c>
      <c r="D566" s="1">
        <v>133922</v>
      </c>
      <c r="E566" s="3">
        <v>7041.96</v>
      </c>
      <c r="F566" s="1" t="s">
        <v>8</v>
      </c>
    </row>
    <row r="567" spans="1:6" x14ac:dyDescent="0.2">
      <c r="A567" s="2">
        <v>44771</v>
      </c>
      <c r="B567" s="1" t="s">
        <v>228</v>
      </c>
      <c r="C567" s="1" t="s">
        <v>250</v>
      </c>
      <c r="D567" s="1">
        <v>133931</v>
      </c>
      <c r="E567" s="3">
        <v>11808</v>
      </c>
      <c r="F567" s="1" t="s">
        <v>8</v>
      </c>
    </row>
    <row r="568" spans="1:6" x14ac:dyDescent="0.2">
      <c r="A568" s="2">
        <v>44771</v>
      </c>
      <c r="B568" s="1" t="s">
        <v>228</v>
      </c>
      <c r="C568" s="1" t="s">
        <v>250</v>
      </c>
      <c r="D568" s="1">
        <v>133932</v>
      </c>
      <c r="E568" s="3">
        <v>5022</v>
      </c>
      <c r="F568" s="1" t="s">
        <v>8</v>
      </c>
    </row>
    <row r="569" spans="1:6" x14ac:dyDescent="0.2">
      <c r="A569" s="2">
        <v>44772</v>
      </c>
      <c r="B569" s="1" t="s">
        <v>24</v>
      </c>
      <c r="C569" s="1" t="s">
        <v>3</v>
      </c>
      <c r="D569" s="1">
        <v>133951</v>
      </c>
      <c r="E569" s="3">
        <v>114016.36</v>
      </c>
      <c r="F569" s="1" t="s">
        <v>4</v>
      </c>
    </row>
    <row r="570" spans="1:6" x14ac:dyDescent="0.2">
      <c r="A570" s="2">
        <v>44772</v>
      </c>
      <c r="B570" s="1" t="s">
        <v>150</v>
      </c>
      <c r="C570" s="1" t="s">
        <v>250</v>
      </c>
      <c r="D570" s="1">
        <v>133964</v>
      </c>
      <c r="E570" s="3">
        <v>17712</v>
      </c>
      <c r="F570" s="1" t="s">
        <v>8</v>
      </c>
    </row>
    <row r="571" spans="1:6" x14ac:dyDescent="0.2">
      <c r="A571" s="2">
        <v>44772</v>
      </c>
      <c r="B571" s="1" t="s">
        <v>244</v>
      </c>
      <c r="C571" s="1" t="s">
        <v>3</v>
      </c>
      <c r="D571" s="1">
        <v>133982</v>
      </c>
      <c r="E571" s="3">
        <v>2305557.38</v>
      </c>
      <c r="F571" s="1" t="s">
        <v>11</v>
      </c>
    </row>
  </sheetData>
  <sortState xmlns:xlrd2="http://schemas.microsoft.com/office/spreadsheetml/2017/richdata2" ref="G3:I395">
    <sortCondition descending="1" ref="H3:H395"/>
  </sortState>
  <conditionalFormatting sqref="A3:E571">
    <cfRule type="expression" dxfId="9" priority="2">
      <formula>AND($H$2&lt;&gt;"",ISNUMBER(SEARCH($H$2,B3)))</formula>
    </cfRule>
  </conditionalFormatting>
  <conditionalFormatting sqref="G3:I228">
    <cfRule type="expression" dxfId="8" priority="1">
      <formula>AND($K$2&lt;&gt;"",ISNUMBER(SEARCH($K$2,G3)))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13E97-EF5F-488A-B63A-8334F48AC3E6}">
  <sheetPr codeName="Sheet2"/>
  <dimension ref="A6:B7"/>
  <sheetViews>
    <sheetView workbookViewId="0">
      <selection activeCell="D6" sqref="D6"/>
    </sheetView>
  </sheetViews>
  <sheetFormatPr defaultRowHeight="15" x14ac:dyDescent="0.25"/>
  <sheetData>
    <row r="6" spans="1:2" x14ac:dyDescent="0.25">
      <c r="A6" s="1" t="s">
        <v>247</v>
      </c>
      <c r="B6" s="1">
        <f>COUNTA(Formula_Unique_Values!D2:D15)</f>
        <v>14</v>
      </c>
    </row>
    <row r="7" spans="1:2" x14ac:dyDescent="0.25">
      <c r="A7" s="1" t="s">
        <v>245</v>
      </c>
      <c r="B7" s="1">
        <f>COUNTA(Formula_Unique_Values!K2:K227)</f>
        <v>226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ED1D-E036-40DE-94A7-458B841EA0B4}">
  <sheetPr codeName="Sheet3"/>
  <dimension ref="A2:K570"/>
  <sheetViews>
    <sheetView workbookViewId="0">
      <selection activeCell="A2" sqref="A2"/>
    </sheetView>
  </sheetViews>
  <sheetFormatPr defaultRowHeight="12.75" x14ac:dyDescent="0.2"/>
  <cols>
    <col min="1" max="1" width="9.140625" style="1"/>
    <col min="2" max="2" width="12.7109375" style="1" bestFit="1" customWidth="1"/>
    <col min="3" max="3" width="9.140625" style="1"/>
    <col min="4" max="4" width="12.7109375" style="1" bestFit="1" customWidth="1"/>
    <col min="5" max="5" width="9.140625" style="1"/>
    <col min="6" max="6" width="24.7109375" style="1" bestFit="1" customWidth="1"/>
    <col min="7" max="8" width="9.140625" style="1"/>
    <col min="9" max="9" width="27.5703125" style="1" bestFit="1" customWidth="1"/>
    <col min="10" max="10" width="9.140625" style="1"/>
    <col min="11" max="11" width="27.5703125" style="1" bestFit="1" customWidth="1"/>
    <col min="12" max="16384" width="9.140625" style="1"/>
  </cols>
  <sheetData>
    <row r="2" spans="1:11" x14ac:dyDescent="0.2">
      <c r="A2" s="1">
        <f>IF(COUNTIF($B$2:B2,B2)=1,A1+1,A1)</f>
        <v>1</v>
      </c>
      <c r="B2" s="1" t="s">
        <v>4</v>
      </c>
      <c r="D2" s="1" t="str">
        <f>IFERROR(VLOOKUP(ROWS($C$2:C2),$A$2:$B$570,2,0),"")</f>
        <v>Chandarana</v>
      </c>
      <c r="F2" s="1">
        <f>IF(Data!N3&lt;&gt;"",Data!M3,"")</f>
        <v>10</v>
      </c>
      <c r="H2" s="1">
        <f>IF(COUNTIF($I$2:I2,I2)=1,H1+1,H1)</f>
        <v>1</v>
      </c>
      <c r="I2" s="1" t="s">
        <v>54</v>
      </c>
      <c r="K2" s="1" t="str">
        <f>IFERROR(VLOOKUP(ROWS($J$2:J2),$H$2:$I$570,2,0),"")</f>
        <v>A-One Mombasa</v>
      </c>
    </row>
    <row r="3" spans="1:11" x14ac:dyDescent="0.2">
      <c r="A3" s="1">
        <f>IF(COUNTIF($B$2:B3,B3)=1,A2+1,A2)</f>
        <v>1</v>
      </c>
      <c r="B3" s="1" t="s">
        <v>4</v>
      </c>
      <c r="D3" s="1" t="str">
        <f>IFERROR(VLOOKUP(ROWS($C$2:C3),$A$2:$B$570,2,0),"")</f>
        <v>Naivas</v>
      </c>
      <c r="F3" s="1">
        <f>IF(Data!N4&lt;&gt;"",Data!M4,"")</f>
        <v>13</v>
      </c>
      <c r="H3" s="1">
        <f>IF(COUNTIF($I$2:I3,I3)=1,H2+1,H2)</f>
        <v>1</v>
      </c>
      <c r="I3" s="1" t="s">
        <v>54</v>
      </c>
      <c r="K3" s="1" t="str">
        <f>IFERROR(VLOOKUP(ROWS($J$2:J3),$H$2:$I$570,2,0),"")</f>
        <v>Carrefour Diani</v>
      </c>
    </row>
    <row r="4" spans="1:11" x14ac:dyDescent="0.2">
      <c r="A4" s="1">
        <f>IF(COUNTIF($B$2:B4,B4)=1,A3+1,A3)</f>
        <v>1</v>
      </c>
      <c r="B4" s="1" t="s">
        <v>4</v>
      </c>
      <c r="D4" s="1" t="str">
        <f>IFERROR(VLOOKUP(ROWS($C$2:C4),$A$2:$B$570,2,0),"")</f>
        <v>Carrefour</v>
      </c>
      <c r="F4" s="1">
        <f>IF(Data!N5&lt;&gt;"",Data!M5,"")</f>
        <v>15</v>
      </c>
      <c r="H4" s="1">
        <f>IF(COUNTIF($I$2:I4,I4)=1,H3+1,H3)</f>
        <v>2</v>
      </c>
      <c r="I4" s="1" t="s">
        <v>75</v>
      </c>
      <c r="K4" s="1" t="str">
        <f>IFERROR(VLOOKUP(ROWS($J$2:J4),$H$2:$I$570,2,0),"")</f>
        <v>Carrefour Galleria</v>
      </c>
    </row>
    <row r="5" spans="1:11" x14ac:dyDescent="0.2">
      <c r="A5" s="1">
        <f>IF(COUNTIF($B$2:B5,B5)=1,A4+1,A4)</f>
        <v>2</v>
      </c>
      <c r="B5" s="1" t="s">
        <v>11</v>
      </c>
      <c r="D5" s="1" t="str">
        <f>IFERROR(VLOOKUP(ROWS($C$2:C5),$A$2:$B$570,2,0),"")</f>
        <v>Cleanshelf</v>
      </c>
      <c r="F5" s="1">
        <f>IF(Data!N6&lt;&gt;"",Data!M6,"")</f>
        <v>17</v>
      </c>
      <c r="H5" s="1">
        <f>IF(COUNTIF($I$2:I5,I5)=1,H4+1,H4)</f>
        <v>2</v>
      </c>
      <c r="I5" s="1" t="s">
        <v>75</v>
      </c>
      <c r="K5" s="1" t="str">
        <f>IFERROR(VLOOKUP(ROWS($J$2:J5),$H$2:$I$570,2,0),"")</f>
        <v>Carrefour Garden City</v>
      </c>
    </row>
    <row r="6" spans="1:11" x14ac:dyDescent="0.2">
      <c r="A6" s="1">
        <f>IF(COUNTIF($B$2:B6,B6)=1,A5+1,A5)</f>
        <v>2</v>
      </c>
      <c r="B6" s="1" t="s">
        <v>11</v>
      </c>
      <c r="D6" s="1" t="str">
        <f>IFERROR(VLOOKUP(ROWS($C$2:C6),$A$2:$B$570,2,0),"")</f>
        <v>Quickmart</v>
      </c>
      <c r="F6" s="1">
        <f>IF(Data!N7&lt;&gt;"",Data!M7,"")</f>
        <v>21</v>
      </c>
      <c r="H6" s="1">
        <f>IF(COUNTIF($I$2:I6,I6)=1,H5+1,H5)</f>
        <v>2</v>
      </c>
      <c r="I6" s="1" t="s">
        <v>75</v>
      </c>
      <c r="K6" s="1" t="str">
        <f>IFERROR(VLOOKUP(ROWS($J$2:J6),$H$2:$I$570,2,0),"")</f>
        <v>Carrefour Junction</v>
      </c>
    </row>
    <row r="7" spans="1:11" x14ac:dyDescent="0.2">
      <c r="A7" s="1">
        <f>IF(COUNTIF($B$2:B7,B7)=1,A6+1,A6)</f>
        <v>2</v>
      </c>
      <c r="B7" s="1" t="s">
        <v>4</v>
      </c>
      <c r="D7" s="1" t="str">
        <f>IFERROR(VLOOKUP(ROWS($C$2:C7),$A$2:$B$570,2,0),"")</f>
        <v>A-One</v>
      </c>
      <c r="F7" s="1">
        <f>IF(Data!N8&lt;&gt;"",Data!M8,"")</f>
        <v>24</v>
      </c>
      <c r="H7" s="1">
        <f>IF(COUNTIF($I$2:I7,I7)=1,H6+1,H6)</f>
        <v>2</v>
      </c>
      <c r="I7" s="1" t="s">
        <v>75</v>
      </c>
      <c r="K7" s="1" t="str">
        <f>IFERROR(VLOOKUP(ROWS($J$2:J7),$H$2:$I$570,2,0),"")</f>
        <v>Carrefour Karen</v>
      </c>
    </row>
    <row r="8" spans="1:11" x14ac:dyDescent="0.2">
      <c r="A8" s="1">
        <f>IF(COUNTIF($B$2:B8,B8)=1,A7+1,A7)</f>
        <v>3</v>
      </c>
      <c r="B8" s="1" t="s">
        <v>8</v>
      </c>
      <c r="D8" s="1" t="str">
        <f>IFERROR(VLOOKUP(ROWS($C$2:C8),$A$2:$B$570,2,0),"")</f>
        <v>Powerstar</v>
      </c>
      <c r="F8" s="1">
        <f>IF(Data!N9&lt;&gt;"",Data!M9,"")</f>
        <v>25</v>
      </c>
      <c r="H8" s="1">
        <f>IF(COUNTIF($I$2:I8,I8)=1,H7+1,H7)</f>
        <v>3</v>
      </c>
      <c r="I8" s="1" t="s">
        <v>69</v>
      </c>
      <c r="K8" s="1" t="str">
        <f>IFERROR(VLOOKUP(ROWS($J$2:J8),$H$2:$I$570,2,0),"")</f>
        <v>Carrefour Karen Hub</v>
      </c>
    </row>
    <row r="9" spans="1:11" x14ac:dyDescent="0.2">
      <c r="A9" s="1">
        <f>IF(COUNTIF($B$2:B9,B9)=1,A8+1,A8)</f>
        <v>3</v>
      </c>
      <c r="B9" s="1" t="s">
        <v>11</v>
      </c>
      <c r="D9" s="1" t="str">
        <f>IFERROR(VLOOKUP(ROWS($C$2:C9),$A$2:$B$570,2,0),"")</f>
        <v>Onn The Way</v>
      </c>
      <c r="F9" s="1">
        <f>IF(Data!N10&lt;&gt;"",Data!M10,"")</f>
        <v>28</v>
      </c>
      <c r="H9" s="1">
        <f>IF(COUNTIF($I$2:I9,I9)=1,H8+1,H8)</f>
        <v>3</v>
      </c>
      <c r="I9" s="1" t="s">
        <v>69</v>
      </c>
      <c r="K9" s="1" t="str">
        <f>IFERROR(VLOOKUP(ROWS($J$2:J9),$H$2:$I$570,2,0),"")</f>
        <v>Carrefour Kilimani</v>
      </c>
    </row>
    <row r="10" spans="1:11" x14ac:dyDescent="0.2">
      <c r="A10" s="1">
        <f>IF(COUNTIF($B$2:B10,B10)=1,A9+1,A9)</f>
        <v>3</v>
      </c>
      <c r="B10" s="1" t="s">
        <v>4</v>
      </c>
      <c r="D10" s="1" t="str">
        <f>IFERROR(VLOOKUP(ROWS($C$2:C10),$A$2:$B$570,2,0),"")</f>
        <v>Leestar</v>
      </c>
      <c r="F10" s="1">
        <f>IF(Data!N11&lt;&gt;"",Data!M11,"")</f>
        <v>30</v>
      </c>
      <c r="H10" s="1">
        <f>IF(COUNTIF($I$2:I10,I10)=1,H9+1,H9)</f>
        <v>3</v>
      </c>
      <c r="I10" s="1" t="s">
        <v>69</v>
      </c>
      <c r="K10" s="1" t="str">
        <f>IFERROR(VLOOKUP(ROWS($J$2:J10),$H$2:$I$570,2,0),"")</f>
        <v>Carrefour Kisumu Mega Plaza</v>
      </c>
    </row>
    <row r="11" spans="1:11" x14ac:dyDescent="0.2">
      <c r="A11" s="1">
        <f>IF(COUNTIF($B$2:B11,B11)=1,A10+1,A10)</f>
        <v>3</v>
      </c>
      <c r="B11" s="1" t="s">
        <v>4</v>
      </c>
      <c r="D11" s="1" t="str">
        <f>IFERROR(VLOOKUP(ROWS($C$2:C11),$A$2:$B$570,2,0),"")</f>
        <v>Defco</v>
      </c>
      <c r="F11" s="1">
        <f>IF(Data!N12&lt;&gt;"",Data!M12,"")</f>
        <v>31</v>
      </c>
      <c r="H11" s="1">
        <f>IF(COUNTIF($I$2:I11,I11)=1,H10+1,H10)</f>
        <v>3</v>
      </c>
      <c r="I11" s="1" t="s">
        <v>69</v>
      </c>
      <c r="K11" s="1" t="str">
        <f>IFERROR(VLOOKUP(ROWS($J$2:J11),$H$2:$I$570,2,0),"")</f>
        <v>Carrefour Kisumu United</v>
      </c>
    </row>
    <row r="12" spans="1:11" x14ac:dyDescent="0.2">
      <c r="A12" s="1">
        <f>IF(COUNTIF($B$2:B12,B12)=1,A11+1,A11)</f>
        <v>3</v>
      </c>
      <c r="B12" s="1" t="s">
        <v>4</v>
      </c>
      <c r="D12" s="1" t="str">
        <f>IFERROR(VLOOKUP(ROWS($C$2:C12),$A$2:$B$570,2,0),"")</f>
        <v>Kassmatt</v>
      </c>
      <c r="F12" s="1">
        <f>IF(Data!N13&lt;&gt;"",Data!M13,"")</f>
        <v>36</v>
      </c>
      <c r="H12" s="1">
        <f>IF(COUNTIF($I$2:I12,I12)=1,H11+1,H11)</f>
        <v>3</v>
      </c>
      <c r="I12" s="1" t="s">
        <v>69</v>
      </c>
      <c r="K12" s="1" t="str">
        <f>IFERROR(VLOOKUP(ROWS($J$2:J12),$H$2:$I$570,2,0),"")</f>
        <v>Carrefour Mega</v>
      </c>
    </row>
    <row r="13" spans="1:11" x14ac:dyDescent="0.2">
      <c r="A13" s="1">
        <f>IF(COUNTIF($B$2:B13,B13)=1,A12+1,A12)</f>
        <v>3</v>
      </c>
      <c r="B13" s="1" t="s">
        <v>4</v>
      </c>
      <c r="D13" s="1" t="str">
        <f>IFERROR(VLOOKUP(ROWS($C$2:C13),$A$2:$B$570,2,0),"")</f>
        <v>Mathai</v>
      </c>
      <c r="F13" s="1">
        <f>IF(Data!N14&lt;&gt;"",Data!M14,"")</f>
        <v>39</v>
      </c>
      <c r="H13" s="1">
        <f>IF(COUNTIF($I$2:I13,I13)=1,H12+1,H12)</f>
        <v>3</v>
      </c>
      <c r="I13" s="1" t="s">
        <v>69</v>
      </c>
      <c r="K13" s="1" t="str">
        <f>IFERROR(VLOOKUP(ROWS($J$2:J13),$H$2:$I$570,2,0),"")</f>
        <v>Carrefour Nextgen</v>
      </c>
    </row>
    <row r="14" spans="1:11" x14ac:dyDescent="0.2">
      <c r="A14" s="1">
        <f>IF(COUNTIF($B$2:B14,B14)=1,A13+1,A13)</f>
        <v>3</v>
      </c>
      <c r="B14" s="1" t="s">
        <v>4</v>
      </c>
      <c r="D14" s="1" t="str">
        <f>IFERROR(VLOOKUP(ROWS($C$2:C14),$A$2:$B$570,2,0),"")</f>
        <v>Game</v>
      </c>
      <c r="F14" s="1">
        <f>IF(Data!N15&lt;&gt;"",Data!M15,"")</f>
        <v>42</v>
      </c>
      <c r="H14" s="1">
        <f>IF(COUNTIF($I$2:I14,I14)=1,H13+1,H13)</f>
        <v>3</v>
      </c>
      <c r="I14" s="1" t="s">
        <v>69</v>
      </c>
      <c r="K14" s="1" t="str">
        <f>IFERROR(VLOOKUP(ROWS($J$2:J14),$H$2:$I$570,2,0),"")</f>
        <v>Carrefour Nyali</v>
      </c>
    </row>
    <row r="15" spans="1:11" x14ac:dyDescent="0.2">
      <c r="A15" s="1">
        <f>IF(COUNTIF($B$2:B15,B15)=1,A14+1,A14)</f>
        <v>3</v>
      </c>
      <c r="B15" s="1" t="s">
        <v>4</v>
      </c>
      <c r="D15" s="1" t="str">
        <f>IFERROR(VLOOKUP(ROWS($C$2:C15),$A$2:$B$570,2,0),"")</f>
        <v>Eastmatt</v>
      </c>
      <c r="F15" s="1">
        <f>IF(Data!N16&lt;&gt;"",Data!M16,"")</f>
        <v>48</v>
      </c>
      <c r="H15" s="1">
        <f>IF(COUNTIF($I$2:I15,I15)=1,H14+1,H14)</f>
        <v>3</v>
      </c>
      <c r="I15" s="1" t="s">
        <v>69</v>
      </c>
      <c r="K15" s="1" t="str">
        <f>IFERROR(VLOOKUP(ROWS($J$2:J15),$H$2:$I$570,2,0),"")</f>
        <v>Carrefour Sarit</v>
      </c>
    </row>
    <row r="16" spans="1:11" x14ac:dyDescent="0.2">
      <c r="A16" s="1">
        <f>IF(COUNTIF($B$2:B16,B16)=1,A15+1,A15)</f>
        <v>3</v>
      </c>
      <c r="B16" s="1" t="s">
        <v>4</v>
      </c>
      <c r="D16" s="1" t="str">
        <f>IFERROR(VLOOKUP(ROWS($C$2:C16),$A$2:$B$570,2,0),"")</f>
        <v/>
      </c>
      <c r="F16" s="1">
        <f>IF(Data!N17&lt;&gt;"",Data!M17,"")</f>
        <v>51</v>
      </c>
      <c r="H16" s="1">
        <f>IF(COUNTIF($I$2:I16,I16)=1,H15+1,H15)</f>
        <v>3</v>
      </c>
      <c r="I16" s="1" t="s">
        <v>69</v>
      </c>
      <c r="K16" s="1" t="str">
        <f>IFERROR(VLOOKUP(ROWS($J$2:J16),$H$2:$I$570,2,0),"")</f>
        <v>Carrefour Southfield</v>
      </c>
    </row>
    <row r="17" spans="1:11" x14ac:dyDescent="0.2">
      <c r="A17" s="1">
        <f>IF(COUNTIF($B$2:B17,B17)=1,A16+1,A16)</f>
        <v>3</v>
      </c>
      <c r="B17" s="1" t="s">
        <v>4</v>
      </c>
      <c r="D17" s="1" t="str">
        <f>IFERROR(VLOOKUP(ROWS($C$2:C17),$A$2:$B$570,2,0),"")</f>
        <v/>
      </c>
      <c r="F17" s="1">
        <f>IF(Data!N18&lt;&gt;"",Data!M18,"")</f>
        <v>56</v>
      </c>
      <c r="H17" s="1">
        <f>IF(COUNTIF($I$2:I17,I17)=1,H16+1,H16)</f>
        <v>4</v>
      </c>
      <c r="I17" s="1" t="s">
        <v>67</v>
      </c>
      <c r="K17" s="1" t="str">
        <f>IFERROR(VLOOKUP(ROWS($J$2:J17),$H$2:$I$570,2,0),"")</f>
        <v>Carrefour Trm</v>
      </c>
    </row>
    <row r="18" spans="1:11" x14ac:dyDescent="0.2">
      <c r="A18" s="1">
        <f>IF(COUNTIF($B$2:B18,B18)=1,A17+1,A17)</f>
        <v>3</v>
      </c>
      <c r="B18" s="1" t="s">
        <v>4</v>
      </c>
      <c r="F18" s="1">
        <f>IF(Data!N19&lt;&gt;"",Data!M19,"")</f>
        <v>59</v>
      </c>
      <c r="H18" s="1">
        <f>IF(COUNTIF($I$2:I18,I18)=1,H17+1,H17)</f>
        <v>4</v>
      </c>
      <c r="I18" s="1" t="s">
        <v>67</v>
      </c>
      <c r="K18" s="1" t="str">
        <f>IFERROR(VLOOKUP(ROWS($J$2:J18),$H$2:$I$570,2,0),"")</f>
        <v>Carrefour Two Rivers</v>
      </c>
    </row>
    <row r="19" spans="1:11" x14ac:dyDescent="0.2">
      <c r="A19" s="1">
        <f>IF(COUNTIF($B$2:B19,B19)=1,A18+1,A18)</f>
        <v>3</v>
      </c>
      <c r="B19" s="1" t="s">
        <v>4</v>
      </c>
      <c r="F19" s="1">
        <f>IF(Data!N20&lt;&gt;"",Data!M20,"")</f>
        <v>83</v>
      </c>
      <c r="H19" s="1">
        <f>IF(COUNTIF($I$2:I19,I19)=1,H18+1,H18)</f>
        <v>4</v>
      </c>
      <c r="I19" s="1" t="s">
        <v>67</v>
      </c>
      <c r="K19" s="1" t="str">
        <f>IFERROR(VLOOKUP(ROWS($J$2:J19),$H$2:$I$570,2,0),"")</f>
        <v>Carrefour Village</v>
      </c>
    </row>
    <row r="20" spans="1:11" ht="15.75" x14ac:dyDescent="0.25">
      <c r="A20" s="1">
        <f>IF(COUNTIF($B$2:B20,B20)=1,A19+1,A19)</f>
        <v>4</v>
      </c>
      <c r="B20" s="1" t="s">
        <v>5</v>
      </c>
      <c r="D20" s="15" t="s">
        <v>4</v>
      </c>
      <c r="F20" s="1">
        <f>IF(Data!N21&lt;&gt;"",Data!M21,"")</f>
        <v>86</v>
      </c>
      <c r="H20" s="1">
        <f>IF(COUNTIF($I$2:I20,I20)=1,H19+1,H19)</f>
        <v>4</v>
      </c>
      <c r="I20" s="1" t="s">
        <v>67</v>
      </c>
      <c r="K20" s="1" t="str">
        <f>IFERROR(VLOOKUP(ROWS($J$2:J20),$H$2:$I$570,2,0),"")</f>
        <v>Carrefour Westgate</v>
      </c>
    </row>
    <row r="21" spans="1:11" x14ac:dyDescent="0.2">
      <c r="A21" s="1">
        <f>IF(COUNTIF($B$2:B21,B21)=1,A20+1,A20)</f>
        <v>4</v>
      </c>
      <c r="B21" s="1" t="s">
        <v>4</v>
      </c>
      <c r="D21" s="1">
        <f>IF(D20=D20,COUNT($F$2:$F$81))</f>
        <v>27</v>
      </c>
      <c r="F21" s="1">
        <f>IF(Data!N22&lt;&gt;"",Data!M22,"")</f>
        <v>87</v>
      </c>
      <c r="H21" s="1">
        <f>IF(COUNTIF($I$2:I21,I21)=1,H20+1,H20)</f>
        <v>4</v>
      </c>
      <c r="I21" s="1" t="s">
        <v>67</v>
      </c>
      <c r="K21" s="1" t="str">
        <f>IFERROR(VLOOKUP(ROWS($J$2:J21),$H$2:$I$570,2,0),"")</f>
        <v>Chandarana Abc</v>
      </c>
    </row>
    <row r="22" spans="1:11" x14ac:dyDescent="0.2">
      <c r="A22" s="1">
        <f>IF(COUNTIF($B$2:B22,B22)=1,A21+1,A21)</f>
        <v>4</v>
      </c>
      <c r="B22" s="1" t="s">
        <v>11</v>
      </c>
      <c r="F22" s="1">
        <f>IF(Data!N23&lt;&gt;"",Data!M23,"")</f>
        <v>93</v>
      </c>
      <c r="H22" s="1">
        <f>IF(COUNTIF($I$2:I22,I22)=1,H21+1,H21)</f>
        <v>4</v>
      </c>
      <c r="I22" s="1" t="s">
        <v>67</v>
      </c>
      <c r="K22" s="1" t="str">
        <f>IFERROR(VLOOKUP(ROWS($J$2:J22),$H$2:$I$570,2,0),"")</f>
        <v>Chandarana Adlife</v>
      </c>
    </row>
    <row r="23" spans="1:11" x14ac:dyDescent="0.2">
      <c r="A23" s="1">
        <f>IF(COUNTIF($B$2:B23,B23)=1,A22+1,A22)</f>
        <v>4</v>
      </c>
      <c r="B23" s="1" t="s">
        <v>11</v>
      </c>
      <c r="F23" s="1">
        <f>IF(Data!N24&lt;&gt;"",Data!M24,"")</f>
        <v>98</v>
      </c>
      <c r="H23" s="1">
        <f>IF(COUNTIF($I$2:I23,I23)=1,H22+1,H22)</f>
        <v>4</v>
      </c>
      <c r="I23" s="1" t="s">
        <v>67</v>
      </c>
      <c r="K23" s="1" t="str">
        <f>IFERROR(VLOOKUP(ROWS($J$2:J23),$H$2:$I$570,2,0),"")</f>
        <v>Chandarana Airport</v>
      </c>
    </row>
    <row r="24" spans="1:11" x14ac:dyDescent="0.2">
      <c r="A24" s="1">
        <f>IF(COUNTIF($B$2:B24,B24)=1,A23+1,A23)</f>
        <v>4</v>
      </c>
      <c r="B24" s="1" t="s">
        <v>11</v>
      </c>
      <c r="F24" s="1">
        <f>IF(Data!N25&lt;&gt;"",Data!M25,"")</f>
        <v>112</v>
      </c>
      <c r="H24" s="1">
        <f>IF(COUNTIF($I$2:I24,I24)=1,H23+1,H23)</f>
        <v>4</v>
      </c>
      <c r="I24" s="1" t="s">
        <v>67</v>
      </c>
      <c r="K24" s="1" t="str">
        <f>IFERROR(VLOOKUP(ROWS($J$2:J24),$H$2:$I$570,2,0),"")</f>
        <v>Chandarana Airport Center</v>
      </c>
    </row>
    <row r="25" spans="1:11" x14ac:dyDescent="0.2">
      <c r="A25" s="1">
        <f>IF(COUNTIF($B$2:B25,B25)=1,A24+1,A24)</f>
        <v>5</v>
      </c>
      <c r="B25" s="1" t="s">
        <v>9</v>
      </c>
      <c r="F25" s="1">
        <f>IF(Data!N26&lt;&gt;"",Data!M26,"")</f>
        <v>130</v>
      </c>
      <c r="H25" s="1">
        <f>IF(COUNTIF($I$2:I25,I25)=1,H24+1,H24)</f>
        <v>4</v>
      </c>
      <c r="I25" s="1" t="s">
        <v>67</v>
      </c>
      <c r="K25" s="1" t="str">
        <f>IFERROR(VLOOKUP(ROWS($J$2:J25),$H$2:$I$570,2,0),"")</f>
        <v>Chandarana Buffalo</v>
      </c>
    </row>
    <row r="26" spans="1:11" x14ac:dyDescent="0.2">
      <c r="A26" s="1">
        <f>IF(COUNTIF($B$2:B26,B26)=1,A25+1,A25)</f>
        <v>5</v>
      </c>
      <c r="B26" s="1" t="s">
        <v>9</v>
      </c>
      <c r="F26" s="1">
        <f>IF(Data!N27&lt;&gt;"",Data!M27,"")</f>
        <v>143</v>
      </c>
      <c r="H26" s="1">
        <f>IF(COUNTIF($I$2:I26,I26)=1,H25+1,H25)</f>
        <v>5</v>
      </c>
      <c r="I26" s="1" t="s">
        <v>65</v>
      </c>
      <c r="K26" s="1" t="str">
        <f>IFERROR(VLOOKUP(ROWS($J$2:J26),$H$2:$I$570,2,0),"")</f>
        <v>Chandarana Diamond</v>
      </c>
    </row>
    <row r="27" spans="1:11" x14ac:dyDescent="0.2">
      <c r="A27" s="1">
        <f>IF(COUNTIF($B$2:B27,B27)=1,A26+1,A26)</f>
        <v>5</v>
      </c>
      <c r="B27" s="1" t="s">
        <v>9</v>
      </c>
      <c r="F27" s="1">
        <f>IF(Data!N28&lt;&gt;"",Data!M28,"")</f>
        <v>169</v>
      </c>
      <c r="H27" s="1">
        <f>IF(COUNTIF($I$2:I27,I27)=1,H26+1,H26)</f>
        <v>5</v>
      </c>
      <c r="I27" s="1" t="s">
        <v>65</v>
      </c>
      <c r="K27" s="1" t="str">
        <f>IFERROR(VLOOKUP(ROWS($J$2:J27),$H$2:$I$570,2,0),"")</f>
        <v>Chandarana Diani</v>
      </c>
    </row>
    <row r="28" spans="1:11" x14ac:dyDescent="0.2">
      <c r="A28" s="1">
        <f>IF(COUNTIF($B$2:B28,B28)=1,A27+1,A27)</f>
        <v>5</v>
      </c>
      <c r="B28" s="1" t="s">
        <v>9</v>
      </c>
      <c r="F28" s="1">
        <f>IF(Data!N29&lt;&gt;"",Data!M29,"")</f>
        <v>213</v>
      </c>
      <c r="H28" s="1">
        <f>IF(COUNTIF($I$2:I28,I28)=1,H27+1,H27)</f>
        <v>5</v>
      </c>
      <c r="I28" s="1" t="s">
        <v>65</v>
      </c>
      <c r="K28" s="1" t="str">
        <f>IFERROR(VLOOKUP(ROWS($J$2:J28),$H$2:$I$570,2,0),"")</f>
        <v>Chandarana Eld</v>
      </c>
    </row>
    <row r="29" spans="1:11" x14ac:dyDescent="0.2">
      <c r="A29" s="1">
        <f>IF(COUNTIF($B$2:B29,B29)=1,A28+1,A28)</f>
        <v>5</v>
      </c>
      <c r="B29" s="1" t="s">
        <v>9</v>
      </c>
      <c r="F29" s="1" t="str">
        <f>IF(Data!N30&lt;&gt;"",Data!M30,"")</f>
        <v/>
      </c>
      <c r="H29" s="1">
        <f>IF(COUNTIF($I$2:I29,I29)=1,H28+1,H28)</f>
        <v>5</v>
      </c>
      <c r="I29" s="1" t="s">
        <v>65</v>
      </c>
      <c r="K29" s="1" t="str">
        <f>IFERROR(VLOOKUP(ROWS($J$2:J29),$H$2:$I$570,2,0),"")</f>
        <v>Chandarana Highridge</v>
      </c>
    </row>
    <row r="30" spans="1:11" x14ac:dyDescent="0.2">
      <c r="A30" s="1">
        <f>IF(COUNTIF($B$2:B30,B30)=1,A29+1,A29)</f>
        <v>5</v>
      </c>
      <c r="B30" s="1" t="s">
        <v>9</v>
      </c>
      <c r="F30" s="1" t="str">
        <f>IF(Data!N31&lt;&gt;"",Data!M31,"")</f>
        <v/>
      </c>
      <c r="H30" s="1">
        <f>IF(COUNTIF($I$2:I30,I30)=1,H29+1,H29)</f>
        <v>5</v>
      </c>
      <c r="I30" s="1" t="s">
        <v>65</v>
      </c>
      <c r="K30" s="1" t="str">
        <f>IFERROR(VLOOKUP(ROWS($J$2:J30),$H$2:$I$570,2,0),"")</f>
        <v>Chandarana Kakamega</v>
      </c>
    </row>
    <row r="31" spans="1:11" x14ac:dyDescent="0.2">
      <c r="A31" s="1">
        <f>IF(COUNTIF($B$2:B31,B31)=1,A30+1,A30)</f>
        <v>5</v>
      </c>
      <c r="B31" s="1" t="s">
        <v>9</v>
      </c>
      <c r="F31" s="1" t="str">
        <f>IF(Data!N32&lt;&gt;"",Data!M32,"")</f>
        <v/>
      </c>
      <c r="H31" s="1">
        <f>IF(COUNTIF($I$2:I31,I31)=1,H30+1,H30)</f>
        <v>5</v>
      </c>
      <c r="I31" s="1" t="s">
        <v>65</v>
      </c>
      <c r="K31" s="1" t="str">
        <f>IFERROR(VLOOKUP(ROWS($J$2:J31),$H$2:$I$570,2,0),"")</f>
        <v>Chandarana Karen</v>
      </c>
    </row>
    <row r="32" spans="1:11" x14ac:dyDescent="0.2">
      <c r="A32" s="1">
        <f>IF(COUNTIF($B$2:B32,B32)=1,A31+1,A31)</f>
        <v>5</v>
      </c>
      <c r="B32" s="1" t="s">
        <v>11</v>
      </c>
      <c r="F32" s="1" t="str">
        <f>IF(Data!N33&lt;&gt;"",Data!M33,"")</f>
        <v/>
      </c>
      <c r="H32" s="1">
        <f>IF(COUNTIF($I$2:I32,I32)=1,H31+1,H31)</f>
        <v>5</v>
      </c>
      <c r="I32" s="1" t="s">
        <v>65</v>
      </c>
      <c r="K32" s="1" t="str">
        <f>IFERROR(VLOOKUP(ROWS($J$2:J32),$H$2:$I$570,2,0),"")</f>
        <v>Chandarana Lavington</v>
      </c>
    </row>
    <row r="33" spans="1:11" x14ac:dyDescent="0.2">
      <c r="A33" s="1">
        <f>IF(COUNTIF($B$2:B33,B33)=1,A32+1,A32)</f>
        <v>5</v>
      </c>
      <c r="B33" s="1" t="s">
        <v>11</v>
      </c>
      <c r="F33" s="1" t="str">
        <f>IF(Data!N34&lt;&gt;"",Data!M34,"")</f>
        <v/>
      </c>
      <c r="H33" s="1">
        <f>IF(COUNTIF($I$2:I33,I33)=1,H32+1,H32)</f>
        <v>5</v>
      </c>
      <c r="I33" s="1" t="s">
        <v>65</v>
      </c>
      <c r="K33" s="1" t="str">
        <f>IFERROR(VLOOKUP(ROWS($J$2:J33),$H$2:$I$570,2,0),"")</f>
        <v>Chandarana Mobil</v>
      </c>
    </row>
    <row r="34" spans="1:11" x14ac:dyDescent="0.2">
      <c r="A34" s="1">
        <f>IF(COUNTIF($B$2:B34,B34)=1,A33+1,A33)</f>
        <v>5</v>
      </c>
      <c r="B34" s="1" t="s">
        <v>11</v>
      </c>
      <c r="F34" s="1" t="str">
        <f>IF(Data!N35&lt;&gt;"",Data!M35,"")</f>
        <v/>
      </c>
      <c r="H34" s="1">
        <f>IF(COUNTIF($I$2:I34,I34)=1,H33+1,H33)</f>
        <v>5</v>
      </c>
      <c r="I34" s="1" t="s">
        <v>65</v>
      </c>
      <c r="K34" s="1" t="str">
        <f>IFERROR(VLOOKUP(ROWS($J$2:J34),$H$2:$I$570,2,0),"")</f>
        <v>Chandarana Nairobi</v>
      </c>
    </row>
    <row r="35" spans="1:11" x14ac:dyDescent="0.2">
      <c r="A35" s="1">
        <f>IF(COUNTIF($B$2:B35,B35)=1,A34+1,A34)</f>
        <v>5</v>
      </c>
      <c r="B35" s="1" t="s">
        <v>11</v>
      </c>
      <c r="F35" s="1" t="str">
        <f>IF(Data!N36&lt;&gt;"",Data!M36,"")</f>
        <v/>
      </c>
      <c r="H35" s="1">
        <f>IF(COUNTIF($I$2:I35,I35)=1,H34+1,H34)</f>
        <v>6</v>
      </c>
      <c r="I35" s="1" t="s">
        <v>66</v>
      </c>
      <c r="K35" s="1" t="str">
        <f>IFERROR(VLOOKUP(ROWS($J$2:J35),$H$2:$I$570,2,0),"")</f>
        <v>Chandarana Nakuru</v>
      </c>
    </row>
    <row r="36" spans="1:11" x14ac:dyDescent="0.2">
      <c r="A36" s="1">
        <f>IF(COUNTIF($B$2:B36,B36)=1,A35+1,A35)</f>
        <v>5</v>
      </c>
      <c r="B36" s="1" t="s">
        <v>4</v>
      </c>
      <c r="F36" s="1" t="str">
        <f>IF(Data!N37&lt;&gt;"",Data!M37,"")</f>
        <v/>
      </c>
      <c r="H36" s="1">
        <f>IF(COUNTIF($I$2:I36,I36)=1,H35+1,H35)</f>
        <v>6</v>
      </c>
      <c r="I36" s="1" t="s">
        <v>66</v>
      </c>
      <c r="K36" s="1" t="str">
        <f>IFERROR(VLOOKUP(ROWS($J$2:J36),$H$2:$I$570,2,0),"")</f>
        <v>Chandarana Nanyuki</v>
      </c>
    </row>
    <row r="37" spans="1:11" x14ac:dyDescent="0.2">
      <c r="A37" s="1">
        <f>IF(COUNTIF($B$2:B37,B37)=1,A36+1,A36)</f>
        <v>6</v>
      </c>
      <c r="B37" s="1" t="s">
        <v>12</v>
      </c>
      <c r="F37" s="1" t="str">
        <f>IF(Data!N38&lt;&gt;"",Data!M38,"")</f>
        <v/>
      </c>
      <c r="H37" s="1">
        <f>IF(COUNTIF($I$2:I37,I37)=1,H36+1,H36)</f>
        <v>6</v>
      </c>
      <c r="I37" s="1" t="s">
        <v>66</v>
      </c>
      <c r="K37" s="1" t="str">
        <f>IFERROR(VLOOKUP(ROWS($J$2:J37),$H$2:$I$570,2,0),"")</f>
        <v>Chandarana New Muthaiga</v>
      </c>
    </row>
    <row r="38" spans="1:11" x14ac:dyDescent="0.2">
      <c r="A38" s="1">
        <f>IF(COUNTIF($B$2:B38,B38)=1,A37+1,A37)</f>
        <v>6</v>
      </c>
      <c r="B38" s="1" t="s">
        <v>9</v>
      </c>
      <c r="F38" s="1" t="str">
        <f>IF(Data!N39&lt;&gt;"",Data!M39,"")</f>
        <v/>
      </c>
      <c r="H38" s="1">
        <f>IF(COUNTIF($I$2:I38,I38)=1,H37+1,H37)</f>
        <v>6</v>
      </c>
      <c r="I38" s="1" t="s">
        <v>66</v>
      </c>
      <c r="K38" s="1" t="str">
        <f>IFERROR(VLOOKUP(ROWS($J$2:J38),$H$2:$I$570,2,0),"")</f>
        <v>Chandarana Ngara</v>
      </c>
    </row>
    <row r="39" spans="1:11" x14ac:dyDescent="0.2">
      <c r="A39" s="1">
        <f>IF(COUNTIF($B$2:B39,B39)=1,A38+1,A38)</f>
        <v>6</v>
      </c>
      <c r="B39" s="1" t="s">
        <v>9</v>
      </c>
      <c r="F39" s="1" t="str">
        <f>IF(Data!N40&lt;&gt;"",Data!M40,"")</f>
        <v/>
      </c>
      <c r="H39" s="1">
        <f>IF(COUNTIF($I$2:I39,I39)=1,H38+1,H38)</f>
        <v>6</v>
      </c>
      <c r="I39" s="1" t="s">
        <v>66</v>
      </c>
      <c r="K39" s="1" t="str">
        <f>IFERROR(VLOOKUP(ROWS($J$2:J39),$H$2:$I$570,2,0),"")</f>
        <v>Chandarana Nyali</v>
      </c>
    </row>
    <row r="40" spans="1:11" x14ac:dyDescent="0.2">
      <c r="A40" s="1">
        <f>IF(COUNTIF($B$2:B40,B40)=1,A39+1,A39)</f>
        <v>6</v>
      </c>
      <c r="B40" s="1" t="s">
        <v>9</v>
      </c>
      <c r="F40" s="1" t="str">
        <f>IF(Data!N41&lt;&gt;"",Data!M41,"")</f>
        <v/>
      </c>
      <c r="H40" s="1">
        <f>IF(COUNTIF($I$2:I40,I40)=1,H39+1,H39)</f>
        <v>6</v>
      </c>
      <c r="I40" s="1" t="s">
        <v>66</v>
      </c>
      <c r="K40" s="1" t="str">
        <f>IFERROR(VLOOKUP(ROWS($J$2:J40),$H$2:$I$570,2,0),"")</f>
        <v>Chandarana Rhapta</v>
      </c>
    </row>
    <row r="41" spans="1:11" x14ac:dyDescent="0.2">
      <c r="A41" s="1">
        <f>IF(COUNTIF($B$2:B41,B41)=1,A40+1,A40)</f>
        <v>6</v>
      </c>
      <c r="B41" s="1" t="s">
        <v>9</v>
      </c>
      <c r="F41" s="1" t="str">
        <f>IF(Data!N42&lt;&gt;"",Data!M42,"")</f>
        <v/>
      </c>
      <c r="H41" s="1">
        <f>IF(COUNTIF($I$2:I41,I41)=1,H40+1,H40)</f>
        <v>6</v>
      </c>
      <c r="I41" s="1" t="s">
        <v>66</v>
      </c>
      <c r="K41" s="1" t="str">
        <f>IFERROR(VLOOKUP(ROWS($J$2:J41),$H$2:$I$570,2,0),"")</f>
        <v>Chandarana Ridgeways</v>
      </c>
    </row>
    <row r="42" spans="1:11" x14ac:dyDescent="0.2">
      <c r="A42" s="1">
        <f>IF(COUNTIF($B$2:B42,B42)=1,A41+1,A41)</f>
        <v>6</v>
      </c>
      <c r="B42" s="1" t="s">
        <v>4</v>
      </c>
      <c r="F42" s="1" t="str">
        <f>IF(Data!N43&lt;&gt;"",Data!M43,"")</f>
        <v/>
      </c>
      <c r="H42" s="1">
        <f>IF(COUNTIF($I$2:I42,I42)=1,H41+1,H41)</f>
        <v>6</v>
      </c>
      <c r="I42" s="1" t="s">
        <v>66</v>
      </c>
      <c r="K42" s="1" t="str">
        <f>IFERROR(VLOOKUP(ROWS($J$2:J42),$H$2:$I$570,2,0),"")</f>
        <v>Chandarana Riverside</v>
      </c>
    </row>
    <row r="43" spans="1:11" x14ac:dyDescent="0.2">
      <c r="A43" s="1">
        <f>IF(COUNTIF($B$2:B43,B43)=1,A42+1,A42)</f>
        <v>6</v>
      </c>
      <c r="B43" s="1" t="s">
        <v>4</v>
      </c>
      <c r="F43" s="1" t="str">
        <f>IF(Data!N44&lt;&gt;"",Data!M44,"")</f>
        <v/>
      </c>
      <c r="H43" s="1">
        <f>IF(COUNTIF($I$2:I43,I43)=1,H42+1,H42)</f>
        <v>7</v>
      </c>
      <c r="I43" s="1" t="s">
        <v>231</v>
      </c>
      <c r="K43" s="1" t="str">
        <f>IFERROR(VLOOKUP(ROWS($J$2:J43),$H$2:$I$570,2,0),"")</f>
        <v>Chandarana Roselyn</v>
      </c>
    </row>
    <row r="44" spans="1:11" x14ac:dyDescent="0.2">
      <c r="A44" s="1">
        <f>IF(COUNTIF($B$2:B44,B44)=1,A43+1,A43)</f>
        <v>6</v>
      </c>
      <c r="B44" s="1" t="s">
        <v>11</v>
      </c>
      <c r="F44" s="1" t="str">
        <f>IF(Data!N45&lt;&gt;"",Data!M45,"")</f>
        <v/>
      </c>
      <c r="H44" s="1">
        <f>IF(COUNTIF($I$2:I44,I44)=1,H43+1,H43)</f>
        <v>7</v>
      </c>
      <c r="I44" s="1" t="s">
        <v>231</v>
      </c>
      <c r="K44" s="1" t="str">
        <f>IFERROR(VLOOKUP(ROWS($J$2:J44),$H$2:$I$570,2,0),"")</f>
        <v>Chandarana Signature</v>
      </c>
    </row>
    <row r="45" spans="1:11" x14ac:dyDescent="0.2">
      <c r="A45" s="1">
        <f>IF(COUNTIF($B$2:B45,B45)=1,A44+1,A44)</f>
        <v>6</v>
      </c>
      <c r="B45" s="1" t="s">
        <v>4</v>
      </c>
      <c r="F45" s="1" t="str">
        <f>IF(Data!N46&lt;&gt;"",Data!M46,"")</f>
        <v/>
      </c>
      <c r="H45" s="1">
        <f>IF(COUNTIF($I$2:I45,I45)=1,H44+1,H44)</f>
        <v>8</v>
      </c>
      <c r="I45" s="1" t="s">
        <v>102</v>
      </c>
      <c r="K45" s="1" t="str">
        <f>IFERROR(VLOOKUP(ROWS($J$2:J45),$H$2:$I$570,2,0),"")</f>
        <v>Chandarana Well</v>
      </c>
    </row>
    <row r="46" spans="1:11" x14ac:dyDescent="0.2">
      <c r="A46" s="1">
        <f>IF(COUNTIF($B$2:B46,B46)=1,A45+1,A45)</f>
        <v>6</v>
      </c>
      <c r="B46" s="1" t="s">
        <v>4</v>
      </c>
      <c r="F46" s="1" t="str">
        <f>IF(Data!N47&lt;&gt;"",Data!M47,"")</f>
        <v/>
      </c>
      <c r="H46" s="1">
        <f>IF(COUNTIF($I$2:I46,I46)=1,H45+1,H45)</f>
        <v>8</v>
      </c>
      <c r="I46" s="1" t="s">
        <v>102</v>
      </c>
      <c r="K46" s="1" t="str">
        <f>IFERROR(VLOOKUP(ROWS($J$2:J46),$H$2:$I$570,2,0),"")</f>
        <v>Chandarana Westend</v>
      </c>
    </row>
    <row r="47" spans="1:11" x14ac:dyDescent="0.2">
      <c r="A47" s="1">
        <f>IF(COUNTIF($B$2:B47,B47)=1,A46+1,A46)</f>
        <v>6</v>
      </c>
      <c r="B47" s="1" t="s">
        <v>8</v>
      </c>
      <c r="F47" s="1" t="str">
        <f>IF(Data!N48&lt;&gt;"",Data!M48,"")</f>
        <v/>
      </c>
      <c r="H47" s="1">
        <f>IF(COUNTIF($I$2:I47,I47)=1,H46+1,H46)</f>
        <v>8</v>
      </c>
      <c r="I47" s="1" t="s">
        <v>102</v>
      </c>
      <c r="K47" s="1" t="str">
        <f>IFERROR(VLOOKUP(ROWS($J$2:J47),$H$2:$I$570,2,0),"")</f>
        <v>Chandarana Yaya</v>
      </c>
    </row>
    <row r="48" spans="1:11" x14ac:dyDescent="0.2">
      <c r="A48" s="1">
        <f>IF(COUNTIF($B$2:B48,B48)=1,A47+1,A47)</f>
        <v>6</v>
      </c>
      <c r="B48" s="1" t="s">
        <v>8</v>
      </c>
      <c r="F48" s="1" t="str">
        <f>IF(Data!N49&lt;&gt;"",Data!M49,"")</f>
        <v/>
      </c>
      <c r="H48" s="1">
        <f>IF(COUNTIF($I$2:I48,I48)=1,H47+1,H47)</f>
        <v>9</v>
      </c>
      <c r="I48" s="1" t="s">
        <v>228</v>
      </c>
      <c r="K48" s="1" t="str">
        <f>IFERROR(VLOOKUP(ROWS($J$2:J48),$H$2:$I$570,2,0),"")</f>
        <v>Cleanshelf Freshmarket</v>
      </c>
    </row>
    <row r="49" spans="1:11" x14ac:dyDescent="0.2">
      <c r="A49" s="1">
        <f>IF(COUNTIF($B$2:B49,B49)=1,A48+1,A48)</f>
        <v>6</v>
      </c>
      <c r="B49" s="1" t="s">
        <v>8</v>
      </c>
      <c r="F49" s="1" t="str">
        <f>IF(Data!N50&lt;&gt;"",Data!M50,"")</f>
        <v/>
      </c>
      <c r="H49" s="1">
        <f>IF(COUNTIF($I$2:I49,I49)=1,H48+1,H48)</f>
        <v>9</v>
      </c>
      <c r="I49" s="1" t="s">
        <v>228</v>
      </c>
      <c r="K49" s="1" t="str">
        <f>IFERROR(VLOOKUP(ROWS($J$2:J49),$H$2:$I$570,2,0),"")</f>
        <v>Cleanshelf Hq</v>
      </c>
    </row>
    <row r="50" spans="1:11" x14ac:dyDescent="0.2">
      <c r="A50" s="1">
        <f>IF(COUNTIF($B$2:B50,B50)=1,A49+1,A49)</f>
        <v>6</v>
      </c>
      <c r="B50" s="1" t="s">
        <v>8</v>
      </c>
      <c r="F50" s="1" t="str">
        <f>IF(Data!N51&lt;&gt;"",Data!M51,"")</f>
        <v/>
      </c>
      <c r="H50" s="1">
        <f>IF(COUNTIF($I$2:I50,I50)=1,H49+1,H49)</f>
        <v>9</v>
      </c>
      <c r="I50" s="1" t="s">
        <v>228</v>
      </c>
      <c r="K50" s="1" t="str">
        <f>IFERROR(VLOOKUP(ROWS($J$2:J50),$H$2:$I$570,2,0),"")</f>
        <v>Cleanshelf K Mall</v>
      </c>
    </row>
    <row r="51" spans="1:11" x14ac:dyDescent="0.2">
      <c r="A51" s="1">
        <f>IF(COUNTIF($B$2:B51,B51)=1,A50+1,A50)</f>
        <v>6</v>
      </c>
      <c r="B51" s="1" t="s">
        <v>8</v>
      </c>
      <c r="F51" s="1" t="str">
        <f>IF(Data!N52&lt;&gt;"",Data!M52,"")</f>
        <v/>
      </c>
      <c r="H51" s="1">
        <f>IF(COUNTIF($I$2:I51,I51)=1,H50+1,H50)</f>
        <v>9</v>
      </c>
      <c r="I51" s="1" t="s">
        <v>228</v>
      </c>
      <c r="K51" s="1" t="str">
        <f>IFERROR(VLOOKUP(ROWS($J$2:J51),$H$2:$I$570,2,0),"")</f>
        <v>Cleanshelf Kahawa West</v>
      </c>
    </row>
    <row r="52" spans="1:11" x14ac:dyDescent="0.2">
      <c r="A52" s="1">
        <f>IF(COUNTIF($B$2:B52,B52)=1,A51+1,A51)</f>
        <v>6</v>
      </c>
      <c r="B52" s="1" t="s">
        <v>8</v>
      </c>
      <c r="F52" s="1" t="str">
        <f>IF(Data!N53&lt;&gt;"",Data!M53,"")</f>
        <v/>
      </c>
      <c r="H52" s="1">
        <f>IF(COUNTIF($I$2:I52,I52)=1,H51+1,H51)</f>
        <v>9</v>
      </c>
      <c r="I52" s="1" t="s">
        <v>228</v>
      </c>
      <c r="K52" s="1" t="str">
        <f>IFERROR(VLOOKUP(ROWS($J$2:J52),$H$2:$I$570,2,0),"")</f>
        <v>Cleanshelf Kiambu</v>
      </c>
    </row>
    <row r="53" spans="1:11" x14ac:dyDescent="0.2">
      <c r="A53" s="1">
        <f>IF(COUNTIF($B$2:B53,B53)=1,A52+1,A52)</f>
        <v>6</v>
      </c>
      <c r="B53" s="1" t="s">
        <v>8</v>
      </c>
      <c r="F53" s="1" t="str">
        <f>IF(Data!N54&lt;&gt;"",Data!M54,"")</f>
        <v/>
      </c>
      <c r="H53" s="1">
        <f>IF(COUNTIF($I$2:I53,I53)=1,H52+1,H52)</f>
        <v>9</v>
      </c>
      <c r="I53" s="1" t="s">
        <v>228</v>
      </c>
      <c r="K53" s="1" t="str">
        <f>IFERROR(VLOOKUP(ROWS($J$2:J53),$H$2:$I$570,2,0),"")</f>
        <v>Cleanshelf Kikuyu</v>
      </c>
    </row>
    <row r="54" spans="1:11" x14ac:dyDescent="0.2">
      <c r="A54" s="1">
        <f>IF(COUNTIF($B$2:B54,B54)=1,A53+1,A53)</f>
        <v>6</v>
      </c>
      <c r="B54" s="1" t="s">
        <v>8</v>
      </c>
      <c r="F54" s="1" t="str">
        <f>IF(Data!N55&lt;&gt;"",Data!M55,"")</f>
        <v/>
      </c>
      <c r="H54" s="1">
        <f>IF(COUNTIF($I$2:I54,I54)=1,H53+1,H53)</f>
        <v>9</v>
      </c>
      <c r="I54" s="1" t="s">
        <v>228</v>
      </c>
      <c r="K54" s="1" t="str">
        <f>IFERROR(VLOOKUP(ROWS($J$2:J54),$H$2:$I$570,2,0),"")</f>
        <v>Cleanshelf Langata</v>
      </c>
    </row>
    <row r="55" spans="1:11" x14ac:dyDescent="0.2">
      <c r="A55" s="1">
        <f>IF(COUNTIF($B$2:B55,B55)=1,A54+1,A54)</f>
        <v>6</v>
      </c>
      <c r="B55" s="1" t="s">
        <v>8</v>
      </c>
      <c r="F55" s="1" t="str">
        <f>IF(Data!N56&lt;&gt;"",Data!M56,"")</f>
        <v/>
      </c>
      <c r="H55" s="1">
        <f>IF(COUNTIF($I$2:I55,I55)=1,H54+1,H54)</f>
        <v>10</v>
      </c>
      <c r="I55" s="1" t="s">
        <v>150</v>
      </c>
      <c r="K55" s="1" t="str">
        <f>IFERROR(VLOOKUP(ROWS($J$2:J55),$H$2:$I$570,2,0),"")</f>
        <v>Cleanshelf Limuru</v>
      </c>
    </row>
    <row r="56" spans="1:11" x14ac:dyDescent="0.2">
      <c r="A56" s="1">
        <f>IF(COUNTIF($B$2:B56,B56)=1,A55+1,A55)</f>
        <v>6</v>
      </c>
      <c r="B56" s="1" t="s">
        <v>8</v>
      </c>
      <c r="F56" s="1" t="str">
        <f>IF(Data!N57&lt;&gt;"",Data!M57,"")</f>
        <v/>
      </c>
      <c r="H56" s="1">
        <f>IF(COUNTIF($I$2:I56,I56)=1,H55+1,H55)</f>
        <v>10</v>
      </c>
      <c r="I56" s="1" t="s">
        <v>150</v>
      </c>
      <c r="K56" s="1" t="str">
        <f>IFERROR(VLOOKUP(ROWS($J$2:J56),$H$2:$I$570,2,0),"")</f>
        <v>Cleanshelf Nakuru</v>
      </c>
    </row>
    <row r="57" spans="1:11" x14ac:dyDescent="0.2">
      <c r="A57" s="1">
        <f>IF(COUNTIF($B$2:B57,B57)=1,A56+1,A56)</f>
        <v>7</v>
      </c>
      <c r="B57" s="1" t="s">
        <v>13</v>
      </c>
      <c r="F57" s="1" t="str">
        <f>IF(Data!N58&lt;&gt;"",Data!M58,"")</f>
        <v/>
      </c>
      <c r="H57" s="1">
        <f>IF(COUNTIF($I$2:I57,I57)=1,H56+1,H56)</f>
        <v>10</v>
      </c>
      <c r="I57" s="1" t="s">
        <v>150</v>
      </c>
      <c r="K57" s="1" t="str">
        <f>IFERROR(VLOOKUP(ROWS($J$2:J57),$H$2:$I$570,2,0),"")</f>
        <v>Cleanshelf Rongai</v>
      </c>
    </row>
    <row r="58" spans="1:11" x14ac:dyDescent="0.2">
      <c r="A58" s="1">
        <f>IF(COUNTIF($B$2:B58,B58)=1,A57+1,A57)</f>
        <v>7</v>
      </c>
      <c r="B58" s="1" t="s">
        <v>13</v>
      </c>
      <c r="F58" s="1" t="str">
        <f>IF(Data!N59&lt;&gt;"",Data!M59,"")</f>
        <v/>
      </c>
      <c r="H58" s="1">
        <f>IF(COUNTIF($I$2:I58,I58)=1,H57+1,H57)</f>
        <v>10</v>
      </c>
      <c r="I58" s="1" t="s">
        <v>150</v>
      </c>
      <c r="K58" s="1" t="str">
        <f>IFERROR(VLOOKUP(ROWS($J$2:J58),$H$2:$I$570,2,0),"")</f>
        <v>Cleanshelf Ruaka</v>
      </c>
    </row>
    <row r="59" spans="1:11" x14ac:dyDescent="0.2">
      <c r="A59" s="1">
        <f>IF(COUNTIF($B$2:B59,B59)=1,A58+1,A58)</f>
        <v>7</v>
      </c>
      <c r="B59" s="1" t="s">
        <v>8</v>
      </c>
      <c r="F59" s="1" t="str">
        <f>IF(Data!N60&lt;&gt;"",Data!M60,"")</f>
        <v/>
      </c>
      <c r="H59" s="1">
        <f>IF(COUNTIF($I$2:I59,I59)=1,H58+1,H58)</f>
        <v>10</v>
      </c>
      <c r="I59" s="1" t="s">
        <v>150</v>
      </c>
      <c r="K59" s="1" t="str">
        <f>IFERROR(VLOOKUP(ROWS($J$2:J59),$H$2:$I$570,2,0),"")</f>
        <v>Cleanshelf Wendani</v>
      </c>
    </row>
    <row r="60" spans="1:11" x14ac:dyDescent="0.2">
      <c r="A60" s="1">
        <f>IF(COUNTIF($B$2:B60,B60)=1,A59+1,A59)</f>
        <v>7</v>
      </c>
      <c r="B60" s="1" t="s">
        <v>8</v>
      </c>
      <c r="F60" s="1" t="str">
        <f>IF(Data!N61&lt;&gt;"",Data!M61,"")</f>
        <v/>
      </c>
      <c r="H60" s="1">
        <f>IF(COUNTIF($I$2:I60,I60)=1,H59+1,H59)</f>
        <v>10</v>
      </c>
      <c r="I60" s="1" t="s">
        <v>150</v>
      </c>
      <c r="K60" s="1" t="str">
        <f>IFERROR(VLOOKUP(ROWS($J$2:J60),$H$2:$I$570,2,0),"")</f>
        <v>Defco Gilgil</v>
      </c>
    </row>
    <row r="61" spans="1:11" x14ac:dyDescent="0.2">
      <c r="A61" s="1">
        <f>IF(COUNTIF($B$2:B61,B61)=1,A60+1,A60)</f>
        <v>7</v>
      </c>
      <c r="B61" s="1" t="s">
        <v>11</v>
      </c>
      <c r="F61" s="1" t="str">
        <f>IF(Data!N62&lt;&gt;"",Data!M62,"")</f>
        <v/>
      </c>
      <c r="H61" s="1">
        <f>IF(COUNTIF($I$2:I61,I61)=1,H60+1,H60)</f>
        <v>10</v>
      </c>
      <c r="I61" s="1" t="s">
        <v>150</v>
      </c>
      <c r="K61" s="1" t="str">
        <f>IFERROR(VLOOKUP(ROWS($J$2:J61),$H$2:$I$570,2,0),"")</f>
        <v>Defco Kahawa</v>
      </c>
    </row>
    <row r="62" spans="1:11" x14ac:dyDescent="0.2">
      <c r="A62" s="1">
        <f>IF(COUNTIF($B$2:B62,B62)=1,A61+1,A61)</f>
        <v>7</v>
      </c>
      <c r="B62" s="1" t="s">
        <v>11</v>
      </c>
      <c r="F62" s="1" t="str">
        <f>IF(Data!N63&lt;&gt;"",Data!M63,"")</f>
        <v/>
      </c>
      <c r="H62" s="1">
        <f>IF(COUNTIF($I$2:I62,I62)=1,H61+1,H61)</f>
        <v>11</v>
      </c>
      <c r="I62" s="1" t="s">
        <v>71</v>
      </c>
      <c r="K62" s="1" t="str">
        <f>IFERROR(VLOOKUP(ROWS($J$2:J62),$H$2:$I$570,2,0),"")</f>
        <v>Defco Langata</v>
      </c>
    </row>
    <row r="63" spans="1:11" x14ac:dyDescent="0.2">
      <c r="A63" s="1">
        <f>IF(COUNTIF($B$2:B63,B63)=1,A62+1,A62)</f>
        <v>7</v>
      </c>
      <c r="B63" s="1" t="s">
        <v>11</v>
      </c>
      <c r="F63" s="1" t="str">
        <f>IF(Data!N64&lt;&gt;"",Data!M64,"")</f>
        <v/>
      </c>
      <c r="H63" s="1">
        <f>IF(COUNTIF($I$2:I63,I63)=1,H62+1,H62)</f>
        <v>11</v>
      </c>
      <c r="I63" s="1" t="s">
        <v>71</v>
      </c>
      <c r="K63" s="1" t="str">
        <f>IFERROR(VLOOKUP(ROWS($J$2:J63),$H$2:$I$570,2,0),"")</f>
        <v>Defco Mab</v>
      </c>
    </row>
    <row r="64" spans="1:11" x14ac:dyDescent="0.2">
      <c r="A64" s="1">
        <f>IF(COUNTIF($B$2:B64,B64)=1,A63+1,A63)</f>
        <v>7</v>
      </c>
      <c r="B64" s="1" t="s">
        <v>11</v>
      </c>
      <c r="F64" s="1" t="str">
        <f>IF(Data!N65&lt;&gt;"",Data!M65,"")</f>
        <v/>
      </c>
      <c r="H64" s="1">
        <f>IF(COUNTIF($I$2:I64,I64)=1,H63+1,H63)</f>
        <v>11</v>
      </c>
      <c r="I64" s="1" t="s">
        <v>71</v>
      </c>
      <c r="K64" s="1" t="str">
        <f>IFERROR(VLOOKUP(ROWS($J$2:J64),$H$2:$I$570,2,0),"")</f>
        <v>Defco Memorial</v>
      </c>
    </row>
    <row r="65" spans="1:11" x14ac:dyDescent="0.2">
      <c r="A65" s="1">
        <f>IF(COUNTIF($B$2:B65,B65)=1,A64+1,A64)</f>
        <v>7</v>
      </c>
      <c r="B65" s="1" t="s">
        <v>11</v>
      </c>
      <c r="F65" s="1" t="str">
        <f>IF(Data!N66&lt;&gt;"",Data!M66,"")</f>
        <v/>
      </c>
      <c r="H65" s="1">
        <f>IF(COUNTIF($I$2:I65,I65)=1,H64+1,H64)</f>
        <v>11</v>
      </c>
      <c r="I65" s="1" t="s">
        <v>71</v>
      </c>
      <c r="K65" s="1" t="str">
        <f>IFERROR(VLOOKUP(ROWS($J$2:J65),$H$2:$I$570,2,0),"")</f>
        <v>Defco Nakuru</v>
      </c>
    </row>
    <row r="66" spans="1:11" x14ac:dyDescent="0.2">
      <c r="A66" s="1">
        <f>IF(COUNTIF($B$2:B66,B66)=1,A65+1,A65)</f>
        <v>7</v>
      </c>
      <c r="B66" s="1" t="s">
        <v>11</v>
      </c>
      <c r="F66" s="1" t="str">
        <f>IF(Data!N67&lt;&gt;"",Data!M67,"")</f>
        <v/>
      </c>
      <c r="H66" s="1">
        <f>IF(COUNTIF($I$2:I66,I66)=1,H65+1,H65)</f>
        <v>11</v>
      </c>
      <c r="I66" s="1" t="s">
        <v>71</v>
      </c>
      <c r="K66" s="1" t="str">
        <f>IFERROR(VLOOKUP(ROWS($J$2:J66),$H$2:$I$570,2,0),"")</f>
        <v>Defco Nanyuki</v>
      </c>
    </row>
    <row r="67" spans="1:11" x14ac:dyDescent="0.2">
      <c r="A67" s="1">
        <f>IF(COUNTIF($B$2:B67,B67)=1,A66+1,A66)</f>
        <v>7</v>
      </c>
      <c r="B67" s="1" t="s">
        <v>5</v>
      </c>
      <c r="F67" s="1" t="str">
        <f>IF(Data!N68&lt;&gt;"",Data!M68,"")</f>
        <v/>
      </c>
      <c r="H67" s="1">
        <f>IF(COUNTIF($I$2:I67,I67)=1,H66+1,H66)</f>
        <v>11</v>
      </c>
      <c r="I67" s="1" t="s">
        <v>71</v>
      </c>
      <c r="K67" s="1" t="str">
        <f>IFERROR(VLOOKUP(ROWS($J$2:J67),$H$2:$I$570,2,0),"")</f>
        <v>Defco Nyali</v>
      </c>
    </row>
    <row r="68" spans="1:11" x14ac:dyDescent="0.2">
      <c r="A68" s="1">
        <f>IF(COUNTIF($B$2:B68,B68)=1,A67+1,A67)</f>
        <v>7</v>
      </c>
      <c r="B68" s="1" t="s">
        <v>11</v>
      </c>
      <c r="F68" s="1" t="str">
        <f>IF(Data!N69&lt;&gt;"",Data!M69,"")</f>
        <v/>
      </c>
      <c r="H68" s="1">
        <f>IF(COUNTIF($I$2:I68,I68)=1,H67+1,H67)</f>
        <v>11</v>
      </c>
      <c r="I68" s="1" t="s">
        <v>71</v>
      </c>
      <c r="K68" s="1" t="str">
        <f>IFERROR(VLOOKUP(ROWS($J$2:J68),$H$2:$I$570,2,0),"")</f>
        <v>Defco Statehouse</v>
      </c>
    </row>
    <row r="69" spans="1:11" x14ac:dyDescent="0.2">
      <c r="A69" s="1">
        <f>IF(COUNTIF($B$2:B69,B69)=1,A68+1,A68)</f>
        <v>7</v>
      </c>
      <c r="B69" s="1" t="s">
        <v>11</v>
      </c>
      <c r="F69" s="1" t="str">
        <f>IF(Data!N70&lt;&gt;"",Data!M70,"")</f>
        <v/>
      </c>
      <c r="H69" s="1">
        <f>IF(COUNTIF($I$2:I69,I69)=1,H68+1,H68)</f>
        <v>11</v>
      </c>
      <c r="I69" s="1" t="s">
        <v>71</v>
      </c>
      <c r="K69" s="1" t="str">
        <f>IFERROR(VLOOKUP(ROWS($J$2:J69),$H$2:$I$570,2,0),"")</f>
        <v>Eastmatt Hq</v>
      </c>
    </row>
    <row r="70" spans="1:11" x14ac:dyDescent="0.2">
      <c r="A70" s="1">
        <f>IF(COUNTIF($B$2:B70,B70)=1,A69+1,A69)</f>
        <v>7</v>
      </c>
      <c r="B70" s="1" t="s">
        <v>11</v>
      </c>
      <c r="F70" s="1" t="str">
        <f>IF(Data!N71&lt;&gt;"",Data!M71,"")</f>
        <v/>
      </c>
      <c r="H70" s="1">
        <f>IF(COUNTIF($I$2:I70,I70)=1,H69+1,H69)</f>
        <v>11</v>
      </c>
      <c r="I70" s="1" t="s">
        <v>71</v>
      </c>
      <c r="K70" s="1" t="str">
        <f>IFERROR(VLOOKUP(ROWS($J$2:J70),$H$2:$I$570,2,0),"")</f>
        <v>Game Garden City</v>
      </c>
    </row>
    <row r="71" spans="1:11" x14ac:dyDescent="0.2">
      <c r="A71" s="1">
        <f>IF(COUNTIF($B$2:B71,B71)=1,A70+1,A70)</f>
        <v>8</v>
      </c>
      <c r="B71" s="1" t="s">
        <v>14</v>
      </c>
      <c r="F71" s="1" t="str">
        <f>IF(Data!N72&lt;&gt;"",Data!M72,"")</f>
        <v/>
      </c>
      <c r="H71" s="1">
        <f>IF(COUNTIF($I$2:I71,I71)=1,H70+1,H70)</f>
        <v>11</v>
      </c>
      <c r="I71" s="1" t="s">
        <v>71</v>
      </c>
      <c r="K71" s="1" t="str">
        <f>IFERROR(VLOOKUP(ROWS($J$2:J71),$H$2:$I$570,2,0),"")</f>
        <v>Kassmatt Githurai</v>
      </c>
    </row>
    <row r="72" spans="1:11" x14ac:dyDescent="0.2">
      <c r="A72" s="1">
        <f>IF(COUNTIF($B$2:B72,B72)=1,A71+1,A71)</f>
        <v>8</v>
      </c>
      <c r="B72" s="1" t="s">
        <v>11</v>
      </c>
      <c r="F72" s="1" t="str">
        <f>IF(Data!N73&lt;&gt;"",Data!M73,"")</f>
        <v/>
      </c>
      <c r="H72" s="1">
        <f>IF(COUNTIF($I$2:I72,I72)=1,H71+1,H71)</f>
        <v>12</v>
      </c>
      <c r="I72" s="1" t="s">
        <v>72</v>
      </c>
      <c r="K72" s="1" t="str">
        <f>IFERROR(VLOOKUP(ROWS($J$2:J72),$H$2:$I$570,2,0),"")</f>
        <v>Kassmatt Jumbo</v>
      </c>
    </row>
    <row r="73" spans="1:11" x14ac:dyDescent="0.2">
      <c r="A73" s="1">
        <f>IF(COUNTIF($B$2:B73,B73)=1,A72+1,A72)</f>
        <v>8</v>
      </c>
      <c r="B73" s="1" t="s">
        <v>11</v>
      </c>
      <c r="F73" s="1" t="str">
        <f>IF(Data!N74&lt;&gt;"",Data!M74,"")</f>
        <v/>
      </c>
      <c r="H73" s="1">
        <f>IF(COUNTIF($I$2:I73,I73)=1,H72+1,H72)</f>
        <v>12</v>
      </c>
      <c r="I73" s="1" t="s">
        <v>72</v>
      </c>
      <c r="K73" s="1" t="str">
        <f>IFERROR(VLOOKUP(ROWS($J$2:J73),$H$2:$I$570,2,0),"")</f>
        <v>Kassmatt Kasarani</v>
      </c>
    </row>
    <row r="74" spans="1:11" x14ac:dyDescent="0.2">
      <c r="A74" s="1">
        <f>IF(COUNTIF($B$2:B74,B74)=1,A73+1,A73)</f>
        <v>8</v>
      </c>
      <c r="B74" s="1" t="s">
        <v>9</v>
      </c>
      <c r="F74" s="1" t="str">
        <f>IF(Data!N75&lt;&gt;"",Data!M75,"")</f>
        <v/>
      </c>
      <c r="H74" s="1">
        <f>IF(COUNTIF($I$2:I74,I74)=1,H73+1,H73)</f>
        <v>12</v>
      </c>
      <c r="I74" s="1" t="s">
        <v>72</v>
      </c>
      <c r="K74" s="1" t="str">
        <f>IFERROR(VLOOKUP(ROWS($J$2:J74),$H$2:$I$570,2,0),"")</f>
        <v>Kassmatt Thika</v>
      </c>
    </row>
    <row r="75" spans="1:11" x14ac:dyDescent="0.2">
      <c r="A75" s="1">
        <f>IF(COUNTIF($B$2:B75,B75)=1,A74+1,A74)</f>
        <v>8</v>
      </c>
      <c r="B75" s="1" t="s">
        <v>11</v>
      </c>
      <c r="F75" s="1" t="str">
        <f>IF(Data!N76&lt;&gt;"",Data!M76,"")</f>
        <v/>
      </c>
      <c r="H75" s="1">
        <f>IF(COUNTIF($I$2:I75,I75)=1,H74+1,H74)</f>
        <v>12</v>
      </c>
      <c r="I75" s="1" t="s">
        <v>72</v>
      </c>
      <c r="K75" s="1" t="str">
        <f>IFERROR(VLOOKUP(ROWS($J$2:J75),$H$2:$I$570,2,0),"")</f>
        <v>Leestar Express</v>
      </c>
    </row>
    <row r="76" spans="1:11" x14ac:dyDescent="0.2">
      <c r="A76" s="1">
        <f>IF(COUNTIF($B$2:B76,B76)=1,A75+1,A75)</f>
        <v>8</v>
      </c>
      <c r="B76" s="1" t="s">
        <v>9</v>
      </c>
      <c r="F76" s="1" t="str">
        <f>IF(Data!N77&lt;&gt;"",Data!M77,"")</f>
        <v/>
      </c>
      <c r="H76" s="1">
        <f>IF(COUNTIF($I$2:I76,I76)=1,H75+1,H75)</f>
        <v>12</v>
      </c>
      <c r="I76" s="1" t="s">
        <v>72</v>
      </c>
      <c r="K76" s="1" t="str">
        <f>IFERROR(VLOOKUP(ROWS($J$2:J76),$H$2:$I$570,2,0),"")</f>
        <v>Leestar Makongeni</v>
      </c>
    </row>
    <row r="77" spans="1:11" x14ac:dyDescent="0.2">
      <c r="A77" s="1">
        <f>IF(COUNTIF($B$2:B77,B77)=1,A76+1,A76)</f>
        <v>8</v>
      </c>
      <c r="B77" s="1" t="s">
        <v>9</v>
      </c>
      <c r="F77" s="1" t="str">
        <f>IF(Data!N78&lt;&gt;"",Data!M78,"")</f>
        <v/>
      </c>
      <c r="H77" s="1">
        <f>IF(COUNTIF($I$2:I77,I77)=1,H76+1,H76)</f>
        <v>13</v>
      </c>
      <c r="I77" s="1" t="s">
        <v>76</v>
      </c>
      <c r="K77" s="1" t="str">
        <f>IFERROR(VLOOKUP(ROWS($J$2:J77),$H$2:$I$570,2,0),"")</f>
        <v>Leestar Ruiru</v>
      </c>
    </row>
    <row r="78" spans="1:11" x14ac:dyDescent="0.2">
      <c r="A78" s="1">
        <f>IF(COUNTIF($B$2:B78,B78)=1,A77+1,A77)</f>
        <v>8</v>
      </c>
      <c r="B78" s="1" t="s">
        <v>9</v>
      </c>
      <c r="F78" s="1" t="str">
        <f>IF(Data!N79&lt;&gt;"",Data!M79,"")</f>
        <v/>
      </c>
      <c r="H78" s="1">
        <f>IF(COUNTIF($I$2:I78,I78)=1,H77+1,H77)</f>
        <v>13</v>
      </c>
      <c r="I78" s="1" t="s">
        <v>76</v>
      </c>
      <c r="K78" s="1" t="str">
        <f>IFERROR(VLOOKUP(ROWS($J$2:J78),$H$2:$I$570,2,0),"")</f>
        <v>Mathai Hq</v>
      </c>
    </row>
    <row r="79" spans="1:11" x14ac:dyDescent="0.2">
      <c r="A79" s="1">
        <f>IF(COUNTIF($B$2:B79,B79)=1,A78+1,A78)</f>
        <v>8</v>
      </c>
      <c r="B79" s="1" t="s">
        <v>4</v>
      </c>
      <c r="F79" s="1" t="str">
        <f>IF(Data!N80&lt;&gt;"",Data!M80,"")</f>
        <v/>
      </c>
      <c r="H79" s="1">
        <f>IF(COUNTIF($I$2:I79,I79)=1,H78+1,H78)</f>
        <v>13</v>
      </c>
      <c r="I79" s="1" t="s">
        <v>76</v>
      </c>
      <c r="K79" s="1" t="str">
        <f>IFERROR(VLOOKUP(ROWS($J$2:J79),$H$2:$I$570,2,0),"")</f>
        <v>Naivas Aga Khan</v>
      </c>
    </row>
    <row r="80" spans="1:11" x14ac:dyDescent="0.2">
      <c r="A80" s="1">
        <f>IF(COUNTIF($B$2:B80,B80)=1,A79+1,A79)</f>
        <v>8</v>
      </c>
      <c r="B80" s="1" t="s">
        <v>9</v>
      </c>
      <c r="F80" s="1" t="str">
        <f>IF(Data!N81&lt;&gt;"",Data!M81,"")</f>
        <v/>
      </c>
      <c r="H80" s="1">
        <f>IF(COUNTIF($I$2:I80,I80)=1,H79+1,H79)</f>
        <v>13</v>
      </c>
      <c r="I80" s="1" t="s">
        <v>76</v>
      </c>
      <c r="K80" s="1" t="str">
        <f>IFERROR(VLOOKUP(ROWS($J$2:J80),$H$2:$I$570,2,0),"")</f>
        <v>Naivas Airport</v>
      </c>
    </row>
    <row r="81" spans="1:11" x14ac:dyDescent="0.2">
      <c r="A81" s="1">
        <f>IF(COUNTIF($B$2:B81,B81)=1,A80+1,A80)</f>
        <v>8</v>
      </c>
      <c r="B81" s="1" t="s">
        <v>9</v>
      </c>
      <c r="F81" s="1" t="str">
        <f>IF(Data!N82&lt;&gt;"",Data!M82,"")</f>
        <v/>
      </c>
      <c r="H81" s="1">
        <f>IF(COUNTIF($I$2:I81,I81)=1,H80+1,H80)</f>
        <v>13</v>
      </c>
      <c r="I81" s="1" t="s">
        <v>76</v>
      </c>
      <c r="K81" s="1" t="str">
        <f>IFERROR(VLOOKUP(ROWS($J$2:J81),$H$2:$I$570,2,0),"")</f>
        <v>Naivas Bamburi</v>
      </c>
    </row>
    <row r="82" spans="1:11" x14ac:dyDescent="0.2">
      <c r="A82" s="1">
        <f>IF(COUNTIF($B$2:B82,B82)=1,A81+1,A81)</f>
        <v>8</v>
      </c>
      <c r="B82" s="1" t="s">
        <v>9</v>
      </c>
      <c r="F82" s="1" t="str">
        <f>IF(Data!N83&lt;&gt;"",Data!M83,"")</f>
        <v/>
      </c>
      <c r="H82" s="1">
        <f>IF(COUNTIF($I$2:I82,I82)=1,H81+1,H81)</f>
        <v>14</v>
      </c>
      <c r="I82" s="1" t="s">
        <v>68</v>
      </c>
      <c r="K82" s="1" t="str">
        <f>IFERROR(VLOOKUP(ROWS($J$2:J82),$H$2:$I$570,2,0),"")</f>
        <v>Naivas Bungoma</v>
      </c>
    </row>
    <row r="83" spans="1:11" x14ac:dyDescent="0.2">
      <c r="A83" s="1">
        <f>IF(COUNTIF($B$2:B83,B83)=1,A82+1,A82)</f>
        <v>8</v>
      </c>
      <c r="B83" s="1" t="s">
        <v>11</v>
      </c>
      <c r="F83" s="1" t="str">
        <f>IF(Data!N84&lt;&gt;"",Data!M84,"")</f>
        <v/>
      </c>
      <c r="H83" s="1">
        <f>IF(COUNTIF($I$2:I83,I83)=1,H82+1,H82)</f>
        <v>14</v>
      </c>
      <c r="I83" s="1" t="s">
        <v>68</v>
      </c>
      <c r="K83" s="1" t="str">
        <f>IFERROR(VLOOKUP(ROWS($J$2:J83),$H$2:$I$570,2,0),"")</f>
        <v>Naivas Buruburu</v>
      </c>
    </row>
    <row r="84" spans="1:11" x14ac:dyDescent="0.2">
      <c r="A84" s="1">
        <f>IF(COUNTIF($B$2:B84,B84)=1,A83+1,A83)</f>
        <v>8</v>
      </c>
      <c r="B84" s="1" t="s">
        <v>9</v>
      </c>
      <c r="F84" s="1" t="str">
        <f>IF(Data!N85&lt;&gt;"",Data!M85,"")</f>
        <v/>
      </c>
      <c r="H84" s="1">
        <f>IF(COUNTIF($I$2:I84,I84)=1,H83+1,H83)</f>
        <v>14</v>
      </c>
      <c r="I84" s="1" t="s">
        <v>68</v>
      </c>
      <c r="K84" s="1" t="str">
        <f>IFERROR(VLOOKUP(ROWS($J$2:J84),$H$2:$I$570,2,0),"")</f>
        <v>Naivas Capital C</v>
      </c>
    </row>
    <row r="85" spans="1:11" x14ac:dyDescent="0.2">
      <c r="A85" s="1">
        <f>IF(COUNTIF($B$2:B85,B85)=1,A84+1,A84)</f>
        <v>8</v>
      </c>
      <c r="B85" s="1" t="s">
        <v>9</v>
      </c>
      <c r="F85" s="1" t="str">
        <f>IF(Data!N86&lt;&gt;"",Data!M86,"")</f>
        <v/>
      </c>
      <c r="H85" s="1">
        <f>IF(COUNTIF($I$2:I85,I85)=1,H84+1,H84)</f>
        <v>14</v>
      </c>
      <c r="I85" s="1" t="s">
        <v>68</v>
      </c>
      <c r="K85" s="1" t="str">
        <f>IFERROR(VLOOKUP(ROWS($J$2:J85),$H$2:$I$570,2,0),"")</f>
        <v>Naivas Ciata</v>
      </c>
    </row>
    <row r="86" spans="1:11" x14ac:dyDescent="0.2">
      <c r="A86" s="1">
        <f>IF(COUNTIF($B$2:B86,B86)=1,A85+1,A85)</f>
        <v>8</v>
      </c>
      <c r="B86" s="1" t="s">
        <v>9</v>
      </c>
      <c r="F86" s="1" t="str">
        <f>IF(Data!N87&lt;&gt;"",Data!M87,"")</f>
        <v/>
      </c>
      <c r="H86" s="1">
        <f>IF(COUNTIF($I$2:I86,I86)=1,H85+1,H85)</f>
        <v>14</v>
      </c>
      <c r="I86" s="1" t="s">
        <v>68</v>
      </c>
      <c r="K86" s="1" t="str">
        <f>IFERROR(VLOOKUP(ROWS($J$2:J86),$H$2:$I$570,2,0),"")</f>
        <v>Naivas Dev House</v>
      </c>
    </row>
    <row r="87" spans="1:11" x14ac:dyDescent="0.2">
      <c r="A87" s="1">
        <f>IF(COUNTIF($B$2:B87,B87)=1,A86+1,A86)</f>
        <v>8</v>
      </c>
      <c r="B87" s="1" t="s">
        <v>8</v>
      </c>
      <c r="F87" s="1" t="str">
        <f>IF(Data!N88&lt;&gt;"",Data!M88,"")</f>
        <v/>
      </c>
      <c r="H87" s="1">
        <f>IF(COUNTIF($I$2:I87,I87)=1,H86+1,H86)</f>
        <v>14</v>
      </c>
      <c r="I87" s="1" t="s">
        <v>68</v>
      </c>
      <c r="K87" s="1" t="str">
        <f>IFERROR(VLOOKUP(ROWS($J$2:J87),$H$2:$I$570,2,0),"")</f>
        <v>Naivas Digo</v>
      </c>
    </row>
    <row r="88" spans="1:11" x14ac:dyDescent="0.2">
      <c r="A88" s="1">
        <f>IF(COUNTIF($B$2:B88,B88)=1,A87+1,A87)</f>
        <v>8</v>
      </c>
      <c r="B88" s="1" t="s">
        <v>11</v>
      </c>
      <c r="F88" s="1" t="str">
        <f>IF(Data!N89&lt;&gt;"",Data!M89,"")</f>
        <v/>
      </c>
      <c r="H88" s="1">
        <f>IF(COUNTIF($I$2:I88,I88)=1,H87+1,H87)</f>
        <v>14</v>
      </c>
      <c r="I88" s="1" t="s">
        <v>68</v>
      </c>
      <c r="K88" s="1" t="str">
        <f>IFERROR(VLOOKUP(ROWS($J$2:J88),$H$2:$I$570,2,0),"")</f>
        <v>Naivas Eastern By Pass</v>
      </c>
    </row>
    <row r="89" spans="1:11" x14ac:dyDescent="0.2">
      <c r="A89" s="1">
        <f>IF(COUNTIF($B$2:B89,B89)=1,A88+1,A88)</f>
        <v>8</v>
      </c>
      <c r="B89" s="1" t="s">
        <v>11</v>
      </c>
      <c r="F89" s="1" t="str">
        <f>IF(Data!N90&lt;&gt;"",Data!M90,"")</f>
        <v/>
      </c>
      <c r="H89" s="1">
        <f>IF(COUNTIF($I$2:I89,I89)=1,H88+1,H88)</f>
        <v>14</v>
      </c>
      <c r="I89" s="1" t="s">
        <v>68</v>
      </c>
      <c r="K89" s="1" t="str">
        <f>IFERROR(VLOOKUP(ROWS($J$2:J89),$H$2:$I$570,2,0),"")</f>
        <v>Naivas Eastgate</v>
      </c>
    </row>
    <row r="90" spans="1:11" x14ac:dyDescent="0.2">
      <c r="A90" s="1">
        <f>IF(COUNTIF($B$2:B90,B90)=1,A89+1,A89)</f>
        <v>8</v>
      </c>
      <c r="B90" s="1" t="s">
        <v>4</v>
      </c>
      <c r="F90" s="1" t="str">
        <f>IF(Data!N91&lt;&gt;"",Data!M91,"")</f>
        <v/>
      </c>
      <c r="H90" s="1">
        <f>IF(COUNTIF($I$2:I90,I90)=1,H89+1,H89)</f>
        <v>14</v>
      </c>
      <c r="I90" s="1" t="s">
        <v>68</v>
      </c>
      <c r="K90" s="1" t="str">
        <f>IFERROR(VLOOKUP(ROWS($J$2:J90),$H$2:$I$570,2,0),"")</f>
        <v>Naivas Eld Referal</v>
      </c>
    </row>
    <row r="91" spans="1:11" x14ac:dyDescent="0.2">
      <c r="A91" s="1">
        <f>IF(COUNTIF($B$2:B91,B91)=1,A90+1,A90)</f>
        <v>8</v>
      </c>
      <c r="B91" s="1" t="s">
        <v>9</v>
      </c>
      <c r="F91" s="1" t="str">
        <f>IF(Data!N92&lt;&gt;"",Data!M92,"")</f>
        <v/>
      </c>
      <c r="H91" s="1">
        <f>IF(COUNTIF($I$2:I91,I91)=1,H90+1,H90)</f>
        <v>14</v>
      </c>
      <c r="I91" s="1" t="s">
        <v>68</v>
      </c>
      <c r="K91" s="1" t="str">
        <f>IFERROR(VLOOKUP(ROWS($J$2:J91),$H$2:$I$570,2,0),"")</f>
        <v>Naivas Embakassi Nyayo</v>
      </c>
    </row>
    <row r="92" spans="1:11" x14ac:dyDescent="0.2">
      <c r="A92" s="1">
        <f>IF(COUNTIF($B$2:B92,B92)=1,A91+1,A91)</f>
        <v>8</v>
      </c>
      <c r="B92" s="1" t="s">
        <v>9</v>
      </c>
      <c r="F92" s="1" t="str">
        <f>IF(Data!N93&lt;&gt;"",Data!M93,"")</f>
        <v/>
      </c>
      <c r="H92" s="1">
        <f>IF(COUNTIF($I$2:I92,I92)=1,H91+1,H91)</f>
        <v>15</v>
      </c>
      <c r="I92" s="1" t="s">
        <v>140</v>
      </c>
      <c r="K92" s="1" t="str">
        <f>IFERROR(VLOOKUP(ROWS($J$2:J92),$H$2:$I$570,2,0),"")</f>
        <v>Naivas Embu</v>
      </c>
    </row>
    <row r="93" spans="1:11" x14ac:dyDescent="0.2">
      <c r="A93" s="1">
        <f>IF(COUNTIF($B$2:B93,B93)=1,A92+1,A92)</f>
        <v>8</v>
      </c>
      <c r="B93" s="1" t="s">
        <v>9</v>
      </c>
      <c r="F93" s="1" t="str">
        <f>IF(Data!N94&lt;&gt;"",Data!M94,"")</f>
        <v/>
      </c>
      <c r="H93" s="1">
        <f>IF(COUNTIF($I$2:I93,I93)=1,H92+1,H92)</f>
        <v>15</v>
      </c>
      <c r="I93" s="1" t="s">
        <v>140</v>
      </c>
      <c r="K93" s="1" t="str">
        <f>IFERROR(VLOOKUP(ROWS($J$2:J93),$H$2:$I$570,2,0),"")</f>
        <v>Naivas Embu Paerl</v>
      </c>
    </row>
    <row r="94" spans="1:11" x14ac:dyDescent="0.2">
      <c r="A94" s="1">
        <f>IF(COUNTIF($B$2:B94,B94)=1,A93+1,A93)</f>
        <v>8</v>
      </c>
      <c r="B94" s="1" t="s">
        <v>9</v>
      </c>
      <c r="F94" s="1" t="str">
        <f>IF(Data!N95&lt;&gt;"",Data!M95,"")</f>
        <v/>
      </c>
      <c r="H94" s="1">
        <f>IF(COUNTIF($I$2:I94,I94)=1,H93+1,H93)</f>
        <v>15</v>
      </c>
      <c r="I94" s="1" t="s">
        <v>140</v>
      </c>
      <c r="K94" s="1" t="str">
        <f>IFERROR(VLOOKUP(ROWS($J$2:J94),$H$2:$I$570,2,0),"")</f>
        <v>Naivas Express Embakassi</v>
      </c>
    </row>
    <row r="95" spans="1:11" x14ac:dyDescent="0.2">
      <c r="A95" s="1">
        <f>IF(COUNTIF($B$2:B95,B95)=1,A94+1,A94)</f>
        <v>8</v>
      </c>
      <c r="B95" s="1" t="s">
        <v>11</v>
      </c>
      <c r="F95" s="1" t="str">
        <f>IF(Data!N96&lt;&gt;"",Data!M96,"")</f>
        <v/>
      </c>
      <c r="H95" s="1">
        <f>IF(COUNTIF($I$2:I95,I95)=1,H94+1,H94)</f>
        <v>15</v>
      </c>
      <c r="I95" s="1" t="s">
        <v>140</v>
      </c>
      <c r="K95" s="1" t="str">
        <f>IFERROR(VLOOKUP(ROWS($J$2:J95),$H$2:$I$570,2,0),"")</f>
        <v>Naivas Gateway</v>
      </c>
    </row>
    <row r="96" spans="1:11" x14ac:dyDescent="0.2">
      <c r="A96" s="1">
        <f>IF(COUNTIF($B$2:B96,B96)=1,A95+1,A95)</f>
        <v>8</v>
      </c>
      <c r="B96" s="1" t="s">
        <v>11</v>
      </c>
      <c r="H96" s="1">
        <f>IF(COUNTIF($I$2:I96,I96)=1,H95+1,H95)</f>
        <v>15</v>
      </c>
      <c r="I96" s="1" t="s">
        <v>140</v>
      </c>
      <c r="K96" s="1" t="str">
        <f>IFERROR(VLOOKUP(ROWS($J$2:J96),$H$2:$I$570,2,0),"")</f>
        <v>Naivas Githurai</v>
      </c>
    </row>
    <row r="97" spans="1:11" x14ac:dyDescent="0.2">
      <c r="A97" s="1">
        <f>IF(COUNTIF($B$2:B97,B97)=1,A96+1,A96)</f>
        <v>8</v>
      </c>
      <c r="B97" s="1" t="s">
        <v>11</v>
      </c>
      <c r="H97" s="1">
        <f>IF(COUNTIF($I$2:I97,I97)=1,H96+1,H96)</f>
        <v>16</v>
      </c>
      <c r="I97" s="1" t="s">
        <v>63</v>
      </c>
      <c r="K97" s="1" t="str">
        <f>IFERROR(VLOOKUP(ROWS($J$2:J97),$H$2:$I$570,2,0),"")</f>
        <v>Naivas Githurai 44</v>
      </c>
    </row>
    <row r="98" spans="1:11" x14ac:dyDescent="0.2">
      <c r="A98" s="1">
        <f>IF(COUNTIF($B$2:B98,B98)=1,A97+1,A97)</f>
        <v>8</v>
      </c>
      <c r="B98" s="1" t="s">
        <v>8</v>
      </c>
      <c r="H98" s="1">
        <f>IF(COUNTIF($I$2:I98,I98)=1,H97+1,H97)</f>
        <v>16</v>
      </c>
      <c r="I98" s="1" t="s">
        <v>63</v>
      </c>
      <c r="K98" s="1" t="str">
        <f>IFERROR(VLOOKUP(ROWS($J$2:J98),$H$2:$I$570,2,0),"")</f>
        <v>Naivas Greenhouse</v>
      </c>
    </row>
    <row r="99" spans="1:11" x14ac:dyDescent="0.2">
      <c r="A99" s="1">
        <f>IF(COUNTIF($B$2:B99,B99)=1,A98+1,A98)</f>
        <v>8</v>
      </c>
      <c r="B99" s="1" t="s">
        <v>9</v>
      </c>
      <c r="H99" s="1">
        <f>IF(COUNTIF($I$2:I99,I99)=1,H98+1,H98)</f>
        <v>16</v>
      </c>
      <c r="I99" s="1" t="s">
        <v>63</v>
      </c>
      <c r="K99" s="1" t="str">
        <f>IFERROR(VLOOKUP(ROWS($J$2:J99),$H$2:$I$570,2,0),"")</f>
        <v>Naivas Greenspan</v>
      </c>
    </row>
    <row r="100" spans="1:11" x14ac:dyDescent="0.2">
      <c r="A100" s="1">
        <f>IF(COUNTIF($B$2:B100,B100)=1,A99+1,A99)</f>
        <v>8</v>
      </c>
      <c r="B100" s="1" t="s">
        <v>9</v>
      </c>
      <c r="H100" s="1">
        <f>IF(COUNTIF($I$2:I100,I100)=1,H99+1,H99)</f>
        <v>16</v>
      </c>
      <c r="I100" s="1" t="s">
        <v>63</v>
      </c>
      <c r="K100" s="1" t="str">
        <f>IFERROR(VLOOKUP(ROWS($J$2:J100),$H$2:$I$570,2,0),"")</f>
        <v>Naivas Hazina</v>
      </c>
    </row>
    <row r="101" spans="1:11" x14ac:dyDescent="0.2">
      <c r="A101" s="1">
        <f>IF(COUNTIF($B$2:B101,B101)=1,A100+1,A100)</f>
        <v>8</v>
      </c>
      <c r="B101" s="1" t="s">
        <v>9</v>
      </c>
      <c r="H101" s="1">
        <f>IF(COUNTIF($I$2:I101,I101)=1,H100+1,H100)</f>
        <v>16</v>
      </c>
      <c r="I101" s="1" t="s">
        <v>63</v>
      </c>
      <c r="K101" s="1" t="str">
        <f>IFERROR(VLOOKUP(ROWS($J$2:J101),$H$2:$I$570,2,0),"")</f>
        <v>Naivas Homeground</v>
      </c>
    </row>
    <row r="102" spans="1:11" x14ac:dyDescent="0.2">
      <c r="A102" s="1">
        <f>IF(COUNTIF($B$2:B102,B102)=1,A101+1,A101)</f>
        <v>8</v>
      </c>
      <c r="B102" s="1" t="s">
        <v>11</v>
      </c>
      <c r="H102" s="1">
        <f>IF(COUNTIF($I$2:I102,I102)=1,H101+1,H101)</f>
        <v>16</v>
      </c>
      <c r="I102" s="1" t="s">
        <v>63</v>
      </c>
      <c r="K102" s="1" t="str">
        <f>IFERROR(VLOOKUP(ROWS($J$2:J102),$H$2:$I$570,2,0),"")</f>
        <v>Naivas Hq</v>
      </c>
    </row>
    <row r="103" spans="1:11" x14ac:dyDescent="0.2">
      <c r="A103" s="1">
        <f>IF(COUNTIF($B$2:B103,B103)=1,A102+1,A102)</f>
        <v>9</v>
      </c>
      <c r="B103" s="1" t="s">
        <v>15</v>
      </c>
      <c r="H103" s="1">
        <f>IF(COUNTIF($I$2:I103,I103)=1,H102+1,H102)</f>
        <v>16</v>
      </c>
      <c r="I103" s="1" t="s">
        <v>63</v>
      </c>
      <c r="K103" s="1" t="str">
        <f>IFERROR(VLOOKUP(ROWS($J$2:J103),$H$2:$I$570,2,0),"")</f>
        <v>Naivas Imara Daima</v>
      </c>
    </row>
    <row r="104" spans="1:11" x14ac:dyDescent="0.2">
      <c r="A104" s="1">
        <f>IF(COUNTIF($B$2:B104,B104)=1,A103+1,A103)</f>
        <v>9</v>
      </c>
      <c r="B104" s="1" t="s">
        <v>9</v>
      </c>
      <c r="H104" s="1">
        <f>IF(COUNTIF($I$2:I104,I104)=1,H103+1,H103)</f>
        <v>16</v>
      </c>
      <c r="I104" s="1" t="s">
        <v>63</v>
      </c>
      <c r="K104" s="1" t="str">
        <f>IFERROR(VLOOKUP(ROWS($J$2:J104),$H$2:$I$570,2,0),"")</f>
        <v>Naivas Juja City</v>
      </c>
    </row>
    <row r="105" spans="1:11" x14ac:dyDescent="0.2">
      <c r="A105" s="1">
        <f>IF(COUNTIF($B$2:B105,B105)=1,A104+1,A104)</f>
        <v>9</v>
      </c>
      <c r="B105" s="1" t="s">
        <v>11</v>
      </c>
      <c r="H105" s="1">
        <f>IF(COUNTIF($I$2:I105,I105)=1,H104+1,H104)</f>
        <v>16</v>
      </c>
      <c r="I105" s="1" t="s">
        <v>63</v>
      </c>
      <c r="K105" s="1" t="str">
        <f>IFERROR(VLOOKUP(ROWS($J$2:J105),$H$2:$I$570,2,0),"")</f>
        <v>Naivas Kahawa West</v>
      </c>
    </row>
    <row r="106" spans="1:11" x14ac:dyDescent="0.2">
      <c r="A106" s="1">
        <f>IF(COUNTIF($B$2:B106,B106)=1,A105+1,A105)</f>
        <v>9</v>
      </c>
      <c r="B106" s="1" t="s">
        <v>11</v>
      </c>
      <c r="H106" s="1">
        <f>IF(COUNTIF($I$2:I106,I106)=1,H105+1,H105)</f>
        <v>16</v>
      </c>
      <c r="I106" s="1" t="s">
        <v>63</v>
      </c>
      <c r="K106" s="1" t="str">
        <f>IFERROR(VLOOKUP(ROWS($J$2:J106),$H$2:$I$570,2,0),"")</f>
        <v>Naivas Kapsabet</v>
      </c>
    </row>
    <row r="107" spans="1:11" x14ac:dyDescent="0.2">
      <c r="A107" s="1">
        <f>IF(COUNTIF($B$2:B107,B107)=1,A106+1,A106)</f>
        <v>9</v>
      </c>
      <c r="B107" s="1" t="s">
        <v>13</v>
      </c>
      <c r="H107" s="1">
        <f>IF(COUNTIF($I$2:I107,I107)=1,H106+1,H106)</f>
        <v>16</v>
      </c>
      <c r="I107" s="1" t="s">
        <v>63</v>
      </c>
      <c r="K107" s="1" t="str">
        <f>IFERROR(VLOOKUP(ROWS($J$2:J107),$H$2:$I$570,2,0),"")</f>
        <v>Naivas Kasarani</v>
      </c>
    </row>
    <row r="108" spans="1:11" x14ac:dyDescent="0.2">
      <c r="A108" s="1">
        <f>IF(COUNTIF($B$2:B108,B108)=1,A107+1,A107)</f>
        <v>9</v>
      </c>
      <c r="B108" s="1" t="s">
        <v>13</v>
      </c>
      <c r="H108" s="1">
        <f>IF(COUNTIF($I$2:I108,I108)=1,H107+1,H107)</f>
        <v>16</v>
      </c>
      <c r="I108" s="1" t="s">
        <v>63</v>
      </c>
      <c r="K108" s="1" t="str">
        <f>IFERROR(VLOOKUP(ROWS($J$2:J108),$H$2:$I$570,2,0),"")</f>
        <v>Naivas Katani</v>
      </c>
    </row>
    <row r="109" spans="1:11" x14ac:dyDescent="0.2">
      <c r="A109" s="1">
        <f>IF(COUNTIF($B$2:B109,B109)=1,A108+1,A108)</f>
        <v>9</v>
      </c>
      <c r="B109" s="1" t="s">
        <v>5</v>
      </c>
      <c r="H109" s="1">
        <f>IF(COUNTIF($I$2:I109,I109)=1,H108+1,H108)</f>
        <v>16</v>
      </c>
      <c r="I109" s="1" t="s">
        <v>63</v>
      </c>
      <c r="K109" s="1" t="str">
        <f>IFERROR(VLOOKUP(ROWS($J$2:J109),$H$2:$I$570,2,0),"")</f>
        <v>Naivas Katani Rd</v>
      </c>
    </row>
    <row r="110" spans="1:11" x14ac:dyDescent="0.2">
      <c r="A110" s="1">
        <f>IF(COUNTIF($B$2:B110,B110)=1,A109+1,A109)</f>
        <v>9</v>
      </c>
      <c r="B110" s="1" t="s">
        <v>11</v>
      </c>
      <c r="H110" s="1">
        <f>IF(COUNTIF($I$2:I110,I110)=1,H109+1,H109)</f>
        <v>16</v>
      </c>
      <c r="I110" s="1" t="s">
        <v>63</v>
      </c>
      <c r="K110" s="1" t="str">
        <f>IFERROR(VLOOKUP(ROWS($J$2:J110),$H$2:$I$570,2,0),"")</f>
        <v>Naivas Kericho</v>
      </c>
    </row>
    <row r="111" spans="1:11" x14ac:dyDescent="0.2">
      <c r="A111" s="1">
        <f>IF(COUNTIF($B$2:B111,B111)=1,A110+1,A110)</f>
        <v>9</v>
      </c>
      <c r="B111" s="1" t="s">
        <v>11</v>
      </c>
      <c r="H111" s="1">
        <f>IF(COUNTIF($I$2:I111,I111)=1,H110+1,H110)</f>
        <v>17</v>
      </c>
      <c r="I111" s="1" t="s">
        <v>25</v>
      </c>
      <c r="K111" s="1" t="str">
        <f>IFERROR(VLOOKUP(ROWS($J$2:J111),$H$2:$I$570,2,0),"")</f>
        <v>Naivas Kilifi</v>
      </c>
    </row>
    <row r="112" spans="1:11" x14ac:dyDescent="0.2">
      <c r="A112" s="1">
        <f>IF(COUNTIF($B$2:B112,B112)=1,A111+1,A111)</f>
        <v>10</v>
      </c>
      <c r="B112" s="1" t="s">
        <v>6</v>
      </c>
      <c r="H112" s="1">
        <f>IF(COUNTIF($I$2:I112,I112)=1,H111+1,H111)</f>
        <v>17</v>
      </c>
      <c r="I112" s="1" t="s">
        <v>25</v>
      </c>
      <c r="K112" s="1" t="str">
        <f>IFERROR(VLOOKUP(ROWS($J$2:J112),$H$2:$I$570,2,0),"")</f>
        <v>Naivas Kilimani</v>
      </c>
    </row>
    <row r="113" spans="1:11" x14ac:dyDescent="0.2">
      <c r="A113" s="1">
        <f>IF(COUNTIF($B$2:B113,B113)=1,A112+1,A112)</f>
        <v>10</v>
      </c>
      <c r="B113" s="1" t="s">
        <v>9</v>
      </c>
      <c r="H113" s="1">
        <f>IF(COUNTIF($I$2:I113,I113)=1,H112+1,H112)</f>
        <v>17</v>
      </c>
      <c r="I113" s="1" t="s">
        <v>25</v>
      </c>
      <c r="K113" s="1" t="str">
        <f>IFERROR(VLOOKUP(ROWS($J$2:J113),$H$2:$I$570,2,0),"")</f>
        <v>Naivas Kisii</v>
      </c>
    </row>
    <row r="114" spans="1:11" x14ac:dyDescent="0.2">
      <c r="A114" s="1">
        <f>IF(COUNTIF($B$2:B114,B114)=1,A113+1,A113)</f>
        <v>10</v>
      </c>
      <c r="B114" s="1" t="s">
        <v>9</v>
      </c>
      <c r="H114" s="1">
        <f>IF(COUNTIF($I$2:I114,I114)=1,H113+1,H113)</f>
        <v>17</v>
      </c>
      <c r="I114" s="1" t="s">
        <v>25</v>
      </c>
      <c r="K114" s="1" t="str">
        <f>IFERROR(VLOOKUP(ROWS($J$2:J114),$H$2:$I$570,2,0),"")</f>
        <v>Naivas Kisumu</v>
      </c>
    </row>
    <row r="115" spans="1:11" x14ac:dyDescent="0.2">
      <c r="A115" s="1">
        <f>IF(COUNTIF($B$2:B115,B115)=1,A114+1,A114)</f>
        <v>10</v>
      </c>
      <c r="B115" s="1" t="s">
        <v>9</v>
      </c>
      <c r="H115" s="1">
        <f>IF(COUNTIF($I$2:I115,I115)=1,H114+1,H114)</f>
        <v>17</v>
      </c>
      <c r="I115" s="1" t="s">
        <v>25</v>
      </c>
      <c r="K115" s="1" t="str">
        <f>IFERROR(VLOOKUP(ROWS($J$2:J115),$H$2:$I$570,2,0),"")</f>
        <v>Naivas Kisumu Mega</v>
      </c>
    </row>
    <row r="116" spans="1:11" x14ac:dyDescent="0.2">
      <c r="A116" s="1">
        <f>IF(COUNTIF($B$2:B116,B116)=1,A115+1,A115)</f>
        <v>10</v>
      </c>
      <c r="B116" s="1" t="s">
        <v>9</v>
      </c>
      <c r="H116" s="1">
        <f>IF(COUNTIF($I$2:I116,I116)=1,H115+1,H115)</f>
        <v>17</v>
      </c>
      <c r="I116" s="1" t="s">
        <v>25</v>
      </c>
      <c r="K116" s="1" t="str">
        <f>IFERROR(VLOOKUP(ROWS($J$2:J116),$H$2:$I$570,2,0),"")</f>
        <v>Naivas Kisumu Simba</v>
      </c>
    </row>
    <row r="117" spans="1:11" x14ac:dyDescent="0.2">
      <c r="A117" s="1">
        <f>IF(COUNTIF($B$2:B117,B117)=1,A116+1,A116)</f>
        <v>10</v>
      </c>
      <c r="B117" s="1" t="s">
        <v>9</v>
      </c>
      <c r="H117" s="1">
        <f>IF(COUNTIF($I$2:I117,I117)=1,H116+1,H116)</f>
        <v>17</v>
      </c>
      <c r="I117" s="1" t="s">
        <v>25</v>
      </c>
      <c r="K117" s="1" t="str">
        <f>IFERROR(VLOOKUP(ROWS($J$2:J117),$H$2:$I$570,2,0),"")</f>
        <v>Naivas Kitengela Mall</v>
      </c>
    </row>
    <row r="118" spans="1:11" x14ac:dyDescent="0.2">
      <c r="A118" s="1">
        <f>IF(COUNTIF($B$2:B118,B118)=1,A117+1,A117)</f>
        <v>10</v>
      </c>
      <c r="B118" s="1" t="s">
        <v>9</v>
      </c>
      <c r="H118" s="1">
        <f>IF(COUNTIF($I$2:I118,I118)=1,H117+1,H117)</f>
        <v>17</v>
      </c>
      <c r="I118" s="1" t="s">
        <v>25</v>
      </c>
      <c r="K118" s="1" t="str">
        <f>IFERROR(VLOOKUP(ROWS($J$2:J118),$H$2:$I$570,2,0),"")</f>
        <v>Naivas Komarock</v>
      </c>
    </row>
    <row r="119" spans="1:11" x14ac:dyDescent="0.2">
      <c r="A119" s="1">
        <f>IF(COUNTIF($B$2:B119,B119)=1,A118+1,A118)</f>
        <v>10</v>
      </c>
      <c r="B119" s="1" t="s">
        <v>6</v>
      </c>
      <c r="H119" s="1">
        <f>IF(COUNTIF($I$2:I119,I119)=1,H118+1,H118)</f>
        <v>17</v>
      </c>
      <c r="I119" s="1" t="s">
        <v>25</v>
      </c>
      <c r="K119" s="1" t="str">
        <f>IFERROR(VLOOKUP(ROWS($J$2:J119),$H$2:$I$570,2,0),"")</f>
        <v>Naivas Kubwa</v>
      </c>
    </row>
    <row r="120" spans="1:11" x14ac:dyDescent="0.2">
      <c r="A120" s="1">
        <f>IF(COUNTIF($B$2:B120,B120)=1,A119+1,A119)</f>
        <v>10</v>
      </c>
      <c r="B120" s="1" t="s">
        <v>9</v>
      </c>
      <c r="H120" s="1">
        <f>IF(COUNTIF($I$2:I120,I120)=1,H119+1,H119)</f>
        <v>17</v>
      </c>
      <c r="I120" s="1" t="s">
        <v>25</v>
      </c>
      <c r="K120" s="1" t="str">
        <f>IFERROR(VLOOKUP(ROWS($J$2:J120),$H$2:$I$570,2,0),"")</f>
        <v>Naivas Langata</v>
      </c>
    </row>
    <row r="121" spans="1:11" x14ac:dyDescent="0.2">
      <c r="A121" s="1">
        <f>IF(COUNTIF($B$2:B121,B121)=1,A120+1,A120)</f>
        <v>10</v>
      </c>
      <c r="B121" s="1" t="s">
        <v>9</v>
      </c>
      <c r="H121" s="1">
        <f>IF(COUNTIF($I$2:I121,I121)=1,H120+1,H120)</f>
        <v>17</v>
      </c>
      <c r="I121" s="1" t="s">
        <v>25</v>
      </c>
      <c r="K121" s="1" t="str">
        <f>IFERROR(VLOOKUP(ROWS($J$2:J121),$H$2:$I$570,2,0),"")</f>
        <v>Naivas Lavington Curve</v>
      </c>
    </row>
    <row r="122" spans="1:11" x14ac:dyDescent="0.2">
      <c r="A122" s="1">
        <f>IF(COUNTIF($B$2:B122,B122)=1,A121+1,A121)</f>
        <v>10</v>
      </c>
      <c r="B122" s="1" t="s">
        <v>6</v>
      </c>
      <c r="H122" s="1">
        <f>IF(COUNTIF($I$2:I122,I122)=1,H121+1,H121)</f>
        <v>18</v>
      </c>
      <c r="I122" s="1" t="s">
        <v>70</v>
      </c>
      <c r="K122" s="1" t="str">
        <f>IFERROR(VLOOKUP(ROWS($J$2:J122),$H$2:$I$570,2,0),"")</f>
        <v>Naivas Lifestyle</v>
      </c>
    </row>
    <row r="123" spans="1:11" x14ac:dyDescent="0.2">
      <c r="A123" s="1">
        <f>IF(COUNTIF($B$2:B123,B123)=1,A122+1,A122)</f>
        <v>10</v>
      </c>
      <c r="B123" s="1" t="s">
        <v>9</v>
      </c>
      <c r="H123" s="1">
        <f>IF(COUNTIF($I$2:I123,I123)=1,H122+1,H122)</f>
        <v>18</v>
      </c>
      <c r="I123" s="1" t="s">
        <v>70</v>
      </c>
      <c r="K123" s="1" t="str">
        <f>IFERROR(VLOOKUP(ROWS($J$2:J123),$H$2:$I$570,2,0),"")</f>
        <v>Naivas Likoni</v>
      </c>
    </row>
    <row r="124" spans="1:11" x14ac:dyDescent="0.2">
      <c r="A124" s="1">
        <f>IF(COUNTIF($B$2:B124,B124)=1,A123+1,A123)</f>
        <v>10</v>
      </c>
      <c r="B124" s="1" t="s">
        <v>8</v>
      </c>
      <c r="H124" s="1">
        <f>IF(COUNTIF($I$2:I124,I124)=1,H123+1,H123)</f>
        <v>18</v>
      </c>
      <c r="I124" s="1" t="s">
        <v>70</v>
      </c>
      <c r="K124" s="1" t="str">
        <f>IFERROR(VLOOKUP(ROWS($J$2:J124),$H$2:$I$570,2,0),"")</f>
        <v>Naivas Limuru</v>
      </c>
    </row>
    <row r="125" spans="1:11" x14ac:dyDescent="0.2">
      <c r="A125" s="1">
        <f>IF(COUNTIF($B$2:B125,B125)=1,A124+1,A124)</f>
        <v>10</v>
      </c>
      <c r="B125" s="1" t="s">
        <v>11</v>
      </c>
      <c r="H125" s="1">
        <f>IF(COUNTIF($I$2:I125,I125)=1,H124+1,H124)</f>
        <v>18</v>
      </c>
      <c r="I125" s="1" t="s">
        <v>70</v>
      </c>
      <c r="K125" s="1" t="str">
        <f>IFERROR(VLOOKUP(ROWS($J$2:J125),$H$2:$I$570,2,0),"")</f>
        <v>Naivas Machakos</v>
      </c>
    </row>
    <row r="126" spans="1:11" x14ac:dyDescent="0.2">
      <c r="A126" s="1">
        <f>IF(COUNTIF($B$2:B126,B126)=1,A125+1,A125)</f>
        <v>10</v>
      </c>
      <c r="B126" s="1" t="s">
        <v>11</v>
      </c>
      <c r="H126" s="1">
        <f>IF(COUNTIF($I$2:I126,I126)=1,H125+1,H125)</f>
        <v>18</v>
      </c>
      <c r="I126" s="1" t="s">
        <v>70</v>
      </c>
      <c r="K126" s="1" t="str">
        <f>IFERROR(VLOOKUP(ROWS($J$2:J126),$H$2:$I$570,2,0),"")</f>
        <v>Naivas Machakos Super C</v>
      </c>
    </row>
    <row r="127" spans="1:11" x14ac:dyDescent="0.2">
      <c r="A127" s="1">
        <f>IF(COUNTIF($B$2:B127,B127)=1,A126+1,A126)</f>
        <v>10</v>
      </c>
      <c r="B127" s="1" t="s">
        <v>11</v>
      </c>
      <c r="H127" s="1">
        <f>IF(COUNTIF($I$2:I127,I127)=1,H126+1,H126)</f>
        <v>18</v>
      </c>
      <c r="I127" s="1" t="s">
        <v>70</v>
      </c>
      <c r="K127" s="1" t="str">
        <f>IFERROR(VLOOKUP(ROWS($J$2:J127),$H$2:$I$570,2,0),"")</f>
        <v>Naivas Maiyan Mall</v>
      </c>
    </row>
    <row r="128" spans="1:11" x14ac:dyDescent="0.2">
      <c r="A128" s="1">
        <f>IF(COUNTIF($B$2:B128,B128)=1,A127+1,A127)</f>
        <v>10</v>
      </c>
      <c r="B128" s="1" t="s">
        <v>9</v>
      </c>
      <c r="H128" s="1">
        <f>IF(COUNTIF($I$2:I128,I128)=1,H127+1,H127)</f>
        <v>18</v>
      </c>
      <c r="I128" s="1" t="s">
        <v>70</v>
      </c>
      <c r="K128" s="1" t="str">
        <f>IFERROR(VLOOKUP(ROWS($J$2:J128),$H$2:$I$570,2,0),"")</f>
        <v>Naivas Malindi</v>
      </c>
    </row>
    <row r="129" spans="1:11" x14ac:dyDescent="0.2">
      <c r="A129" s="1">
        <f>IF(COUNTIF($B$2:B129,B129)=1,A128+1,A128)</f>
        <v>10</v>
      </c>
      <c r="B129" s="1" t="s">
        <v>11</v>
      </c>
      <c r="H129" s="1">
        <f>IF(COUNTIF($I$2:I129,I129)=1,H128+1,H128)</f>
        <v>18</v>
      </c>
      <c r="I129" s="1" t="s">
        <v>70</v>
      </c>
      <c r="K129" s="1" t="str">
        <f>IFERROR(VLOOKUP(ROWS($J$2:J129),$H$2:$I$570,2,0),"")</f>
        <v>Naivas Midtown</v>
      </c>
    </row>
    <row r="130" spans="1:11" x14ac:dyDescent="0.2">
      <c r="A130" s="1">
        <f>IF(COUNTIF($B$2:B130,B130)=1,A129+1,A129)</f>
        <v>10</v>
      </c>
      <c r="B130" s="1" t="s">
        <v>8</v>
      </c>
      <c r="H130" s="1">
        <f>IF(COUNTIF($I$2:I130,I130)=1,H129+1,H129)</f>
        <v>18</v>
      </c>
      <c r="I130" s="1" t="s">
        <v>70</v>
      </c>
      <c r="K130" s="1" t="str">
        <f>IFERROR(VLOOKUP(ROWS($J$2:J130),$H$2:$I$570,2,0),"")</f>
        <v>Naivas Moi Avenue</v>
      </c>
    </row>
    <row r="131" spans="1:11" x14ac:dyDescent="0.2">
      <c r="A131" s="1">
        <f>IF(COUNTIF($B$2:B131,B131)=1,A130+1,A130)</f>
        <v>10</v>
      </c>
      <c r="B131" s="1" t="s">
        <v>8</v>
      </c>
      <c r="H131" s="1">
        <f>IF(COUNTIF($I$2:I131,I131)=1,H130+1,H130)</f>
        <v>19</v>
      </c>
      <c r="I131" s="1" t="s">
        <v>64</v>
      </c>
      <c r="K131" s="1" t="str">
        <f>IFERROR(VLOOKUP(ROWS($J$2:J131),$H$2:$I$570,2,0),"")</f>
        <v>Naivas Mombasa</v>
      </c>
    </row>
    <row r="132" spans="1:11" x14ac:dyDescent="0.2">
      <c r="A132" s="1">
        <f>IF(COUNTIF($B$2:B132,B132)=1,A131+1,A131)</f>
        <v>10</v>
      </c>
      <c r="B132" s="1" t="s">
        <v>8</v>
      </c>
      <c r="H132" s="1">
        <f>IF(COUNTIF($I$2:I132,I132)=1,H131+1,H131)</f>
        <v>19</v>
      </c>
      <c r="I132" s="1" t="s">
        <v>64</v>
      </c>
      <c r="K132" s="1" t="str">
        <f>IFERROR(VLOOKUP(ROWS($J$2:J132),$H$2:$I$570,2,0),"")</f>
        <v>Naivas Mountain Mall</v>
      </c>
    </row>
    <row r="133" spans="1:11" x14ac:dyDescent="0.2">
      <c r="A133" s="1">
        <f>IF(COUNTIF($B$2:B133,B133)=1,A132+1,A132)</f>
        <v>10</v>
      </c>
      <c r="B133" s="1" t="s">
        <v>8</v>
      </c>
      <c r="H133" s="1">
        <f>IF(COUNTIF($I$2:I133,I133)=1,H132+1,H132)</f>
        <v>19</v>
      </c>
      <c r="I133" s="1" t="s">
        <v>64</v>
      </c>
      <c r="K133" s="1" t="str">
        <f>IFERROR(VLOOKUP(ROWS($J$2:J133),$H$2:$I$570,2,0),"")</f>
        <v>Naivas Mountain View</v>
      </c>
    </row>
    <row r="134" spans="1:11" x14ac:dyDescent="0.2">
      <c r="A134" s="1">
        <f>IF(COUNTIF($B$2:B134,B134)=1,A133+1,A133)</f>
        <v>10</v>
      </c>
      <c r="B134" s="1" t="s">
        <v>8</v>
      </c>
      <c r="H134" s="1">
        <f>IF(COUNTIF($I$2:I134,I134)=1,H133+1,H133)</f>
        <v>19</v>
      </c>
      <c r="I134" s="1" t="s">
        <v>64</v>
      </c>
      <c r="K134" s="1" t="str">
        <f>IFERROR(VLOOKUP(ROWS($J$2:J134),$H$2:$I$570,2,0),"")</f>
        <v>Naivas Muindi Mbingu</v>
      </c>
    </row>
    <row r="135" spans="1:11" x14ac:dyDescent="0.2">
      <c r="A135" s="1">
        <f>IF(COUNTIF($B$2:B135,B135)=1,A134+1,A134)</f>
        <v>10</v>
      </c>
      <c r="B135" s="1" t="s">
        <v>8</v>
      </c>
      <c r="H135" s="1">
        <f>IF(COUNTIF($I$2:I135,I135)=1,H134+1,H134)</f>
        <v>19</v>
      </c>
      <c r="I135" s="1" t="s">
        <v>64</v>
      </c>
      <c r="K135" s="1" t="str">
        <f>IFERROR(VLOOKUP(ROWS($J$2:J135),$H$2:$I$570,2,0),"")</f>
        <v>Naivas Mwembe</v>
      </c>
    </row>
    <row r="136" spans="1:11" x14ac:dyDescent="0.2">
      <c r="A136" s="1">
        <f>IF(COUNTIF($B$2:B136,B136)=1,A135+1,A135)</f>
        <v>10</v>
      </c>
      <c r="B136" s="1" t="s">
        <v>9</v>
      </c>
      <c r="H136" s="1">
        <f>IF(COUNTIF($I$2:I136,I136)=1,H135+1,H135)</f>
        <v>19</v>
      </c>
      <c r="I136" s="1" t="s">
        <v>64</v>
      </c>
      <c r="K136" s="1" t="str">
        <f>IFERROR(VLOOKUP(ROWS($J$2:J136),$H$2:$I$570,2,0),"")</f>
        <v>Naivas Naivasha Ndogo</v>
      </c>
    </row>
    <row r="137" spans="1:11" x14ac:dyDescent="0.2">
      <c r="A137" s="1">
        <f>IF(COUNTIF($B$2:B137,B137)=1,A136+1,A136)</f>
        <v>10</v>
      </c>
      <c r="B137" s="1" t="s">
        <v>8</v>
      </c>
      <c r="H137" s="1">
        <f>IF(COUNTIF($I$2:I137,I137)=1,H136+1,H136)</f>
        <v>19</v>
      </c>
      <c r="I137" s="1" t="s">
        <v>64</v>
      </c>
      <c r="K137" s="1" t="str">
        <f>IFERROR(VLOOKUP(ROWS($J$2:J137),$H$2:$I$570,2,0),"")</f>
        <v>Naivas Nakuru Super C</v>
      </c>
    </row>
    <row r="138" spans="1:11" x14ac:dyDescent="0.2">
      <c r="A138" s="1">
        <f>IF(COUNTIF($B$2:B138,B138)=1,A137+1,A137)</f>
        <v>10</v>
      </c>
      <c r="B138" s="1" t="s">
        <v>8</v>
      </c>
      <c r="H138" s="1">
        <f>IF(COUNTIF($I$2:I138,I138)=1,H137+1,H137)</f>
        <v>19</v>
      </c>
      <c r="I138" s="1" t="s">
        <v>64</v>
      </c>
      <c r="K138" s="1" t="str">
        <f>IFERROR(VLOOKUP(ROWS($J$2:J138),$H$2:$I$570,2,0),"")</f>
        <v>Naivas Narok</v>
      </c>
    </row>
    <row r="139" spans="1:11" x14ac:dyDescent="0.2">
      <c r="A139" s="1">
        <f>IF(COUNTIF($B$2:B139,B139)=1,A138+1,A138)</f>
        <v>10</v>
      </c>
      <c r="B139" s="1" t="s">
        <v>8</v>
      </c>
      <c r="H139" s="1">
        <f>IF(COUNTIF($I$2:I139,I139)=1,H138+1,H138)</f>
        <v>20</v>
      </c>
      <c r="I139" s="1" t="s">
        <v>33</v>
      </c>
      <c r="K139" s="1" t="str">
        <f>IFERROR(VLOOKUP(ROWS($J$2:J139),$H$2:$I$570,2,0),"")</f>
        <v>Naivas Ngong Town 2</v>
      </c>
    </row>
    <row r="140" spans="1:11" x14ac:dyDescent="0.2">
      <c r="A140" s="1">
        <f>IF(COUNTIF($B$2:B140,B140)=1,A139+1,A139)</f>
        <v>10</v>
      </c>
      <c r="B140" s="1" t="s">
        <v>8</v>
      </c>
      <c r="H140" s="1">
        <f>IF(COUNTIF($I$2:I140,I140)=1,H139+1,H139)</f>
        <v>20</v>
      </c>
      <c r="I140" s="1" t="s">
        <v>33</v>
      </c>
      <c r="K140" s="1" t="str">
        <f>IFERROR(VLOOKUP(ROWS($J$2:J140),$H$2:$I$570,2,0),"")</f>
        <v>Naivas Nyali</v>
      </c>
    </row>
    <row r="141" spans="1:11" x14ac:dyDescent="0.2">
      <c r="A141" s="1">
        <f>IF(COUNTIF($B$2:B141,B141)=1,A140+1,A140)</f>
        <v>10</v>
      </c>
      <c r="B141" s="1" t="s">
        <v>8</v>
      </c>
      <c r="H141" s="1">
        <f>IF(COUNTIF($I$2:I141,I141)=1,H140+1,H140)</f>
        <v>20</v>
      </c>
      <c r="I141" s="1" t="s">
        <v>33</v>
      </c>
      <c r="K141" s="1" t="str">
        <f>IFERROR(VLOOKUP(ROWS($J$2:J141),$H$2:$I$570,2,0),"")</f>
        <v>Naivas Nyeri</v>
      </c>
    </row>
    <row r="142" spans="1:11" x14ac:dyDescent="0.2">
      <c r="A142" s="1">
        <f>IF(COUNTIF($B$2:B142,B142)=1,A141+1,A141)</f>
        <v>10</v>
      </c>
      <c r="B142" s="1" t="s">
        <v>11</v>
      </c>
      <c r="H142" s="1">
        <f>IF(COUNTIF($I$2:I142,I142)=1,H141+1,H141)</f>
        <v>21</v>
      </c>
      <c r="I142" s="1" t="s">
        <v>32</v>
      </c>
      <c r="K142" s="1" t="str">
        <f>IFERROR(VLOOKUP(ROWS($J$2:J142),$H$2:$I$570,2,0),"")</f>
        <v>Naivas Prestige</v>
      </c>
    </row>
    <row r="143" spans="1:11" x14ac:dyDescent="0.2">
      <c r="A143" s="1">
        <f>IF(COUNTIF($B$2:B143,B143)=1,A142+1,A142)</f>
        <v>10</v>
      </c>
      <c r="B143" s="1" t="s">
        <v>11</v>
      </c>
      <c r="H143" s="1">
        <f>IF(COUNTIF($I$2:I143,I143)=1,H142+1,H142)</f>
        <v>21</v>
      </c>
      <c r="I143" s="1" t="s">
        <v>32</v>
      </c>
      <c r="K143" s="1" t="str">
        <f>IFERROR(VLOOKUP(ROWS($J$2:J143),$H$2:$I$570,2,0),"")</f>
        <v>Naivas Riruta</v>
      </c>
    </row>
    <row r="144" spans="1:11" x14ac:dyDescent="0.2">
      <c r="A144" s="1">
        <f>IF(COUNTIF($B$2:B144,B144)=1,A143+1,A143)</f>
        <v>10</v>
      </c>
      <c r="B144" s="1" t="s">
        <v>6</v>
      </c>
      <c r="H144" s="1">
        <f>IF(COUNTIF($I$2:I144,I144)=1,H143+1,H143)</f>
        <v>21</v>
      </c>
      <c r="I144" s="1" t="s">
        <v>32</v>
      </c>
      <c r="K144" s="1" t="str">
        <f>IFERROR(VLOOKUP(ROWS($J$2:J144),$H$2:$I$570,2,0),"")</f>
        <v>Naivas Ronald Ngala</v>
      </c>
    </row>
    <row r="145" spans="1:11" x14ac:dyDescent="0.2">
      <c r="A145" s="1">
        <f>IF(COUNTIF($B$2:B145,B145)=1,A144+1,A144)</f>
        <v>10</v>
      </c>
      <c r="B145" s="1" t="s">
        <v>5</v>
      </c>
      <c r="H145" s="1">
        <f>IF(COUNTIF($I$2:I145,I145)=1,H144+1,H144)</f>
        <v>21</v>
      </c>
      <c r="I145" s="1" t="s">
        <v>32</v>
      </c>
      <c r="K145" s="1" t="str">
        <f>IFERROR(VLOOKUP(ROWS($J$2:J145),$H$2:$I$570,2,0),"")</f>
        <v>Naivas Ruaraka</v>
      </c>
    </row>
    <row r="146" spans="1:11" x14ac:dyDescent="0.2">
      <c r="A146" s="1">
        <f>IF(COUNTIF($B$2:B146,B146)=1,A145+1,A145)</f>
        <v>10</v>
      </c>
      <c r="B146" s="1" t="s">
        <v>11</v>
      </c>
      <c r="H146" s="1">
        <f>IF(COUNTIF($I$2:I146,I146)=1,H145+1,H145)</f>
        <v>22</v>
      </c>
      <c r="I146" s="1" t="s">
        <v>173</v>
      </c>
      <c r="K146" s="1" t="str">
        <f>IFERROR(VLOOKUP(ROWS($J$2:J146),$H$2:$I$570,2,0),"")</f>
        <v>Naivas Safari</v>
      </c>
    </row>
    <row r="147" spans="1:11" x14ac:dyDescent="0.2">
      <c r="A147" s="1">
        <f>IF(COUNTIF($B$2:B147,B147)=1,A146+1,A146)</f>
        <v>10</v>
      </c>
      <c r="B147" s="1" t="s">
        <v>11</v>
      </c>
      <c r="H147" s="1">
        <f>IF(COUNTIF($I$2:I147,I147)=1,H146+1,H146)</f>
        <v>22</v>
      </c>
      <c r="I147" s="1" t="s">
        <v>173</v>
      </c>
      <c r="K147" s="1" t="str">
        <f>IFERROR(VLOOKUP(ROWS($J$2:J147),$H$2:$I$570,2,0),"")</f>
        <v>Naivas South C</v>
      </c>
    </row>
    <row r="148" spans="1:11" x14ac:dyDescent="0.2">
      <c r="A148" s="1">
        <f>IF(COUNTIF($B$2:B148,B148)=1,A147+1,A147)</f>
        <v>10</v>
      </c>
      <c r="B148" s="1" t="s">
        <v>11</v>
      </c>
      <c r="H148" s="1">
        <f>IF(COUNTIF($I$2:I148,I148)=1,H147+1,H147)</f>
        <v>22</v>
      </c>
      <c r="I148" s="1" t="s">
        <v>173</v>
      </c>
      <c r="K148" s="1" t="str">
        <f>IFERROR(VLOOKUP(ROWS($J$2:J148),$H$2:$I$570,2,0),"")</f>
        <v>Naivas Spur Mall</v>
      </c>
    </row>
    <row r="149" spans="1:11" x14ac:dyDescent="0.2">
      <c r="A149" s="1">
        <f>IF(COUNTIF($B$2:B149,B149)=1,A148+1,A148)</f>
        <v>11</v>
      </c>
      <c r="B149" s="1" t="s">
        <v>16</v>
      </c>
      <c r="H149" s="1">
        <f>IF(COUNTIF($I$2:I149,I149)=1,H148+1,H148)</f>
        <v>23</v>
      </c>
      <c r="I149" s="1" t="s">
        <v>31</v>
      </c>
      <c r="K149" s="1" t="str">
        <f>IFERROR(VLOOKUP(ROWS($J$2:J149),$H$2:$I$570,2,0),"")</f>
        <v>Naivas Tassia</v>
      </c>
    </row>
    <row r="150" spans="1:11" x14ac:dyDescent="0.2">
      <c r="A150" s="1">
        <f>IF(COUNTIF($B$2:B150,B150)=1,A149+1,A149)</f>
        <v>11</v>
      </c>
      <c r="B150" s="1" t="s">
        <v>11</v>
      </c>
      <c r="H150" s="1">
        <f>IF(COUNTIF($I$2:I150,I150)=1,H149+1,H149)</f>
        <v>23</v>
      </c>
      <c r="I150" s="1" t="s">
        <v>31</v>
      </c>
      <c r="K150" s="1" t="str">
        <f>IFERROR(VLOOKUP(ROWS($J$2:J150),$H$2:$I$570,2,0),"")</f>
        <v>Naivas Thika Ananas</v>
      </c>
    </row>
    <row r="151" spans="1:11" x14ac:dyDescent="0.2">
      <c r="A151" s="1">
        <f>IF(COUNTIF($B$2:B151,B151)=1,A150+1,A150)</f>
        <v>11</v>
      </c>
      <c r="B151" s="1" t="s">
        <v>8</v>
      </c>
      <c r="H151" s="1">
        <f>IF(COUNTIF($I$2:I151,I151)=1,H150+1,H150)</f>
        <v>24</v>
      </c>
      <c r="I151" s="1" t="s">
        <v>60</v>
      </c>
      <c r="K151" s="1" t="str">
        <f>IFERROR(VLOOKUP(ROWS($J$2:J151),$H$2:$I$570,2,0),"")</f>
        <v>Naivas Thika Town</v>
      </c>
    </row>
    <row r="152" spans="1:11" x14ac:dyDescent="0.2">
      <c r="A152" s="1">
        <f>IF(COUNTIF($B$2:B152,B152)=1,A151+1,A151)</f>
        <v>11</v>
      </c>
      <c r="B152" s="1" t="s">
        <v>8</v>
      </c>
      <c r="H152" s="1">
        <f>IF(COUNTIF($I$2:I152,I152)=1,H151+1,H151)</f>
        <v>24</v>
      </c>
      <c r="I152" s="1" t="s">
        <v>60</v>
      </c>
      <c r="K152" s="1" t="str">
        <f>IFERROR(VLOOKUP(ROWS($J$2:J152),$H$2:$I$570,2,0),"")</f>
        <v>Naivas Ukunda</v>
      </c>
    </row>
    <row r="153" spans="1:11" x14ac:dyDescent="0.2">
      <c r="A153" s="1">
        <f>IF(COUNTIF($B$2:B153,B153)=1,A152+1,A152)</f>
        <v>11</v>
      </c>
      <c r="B153" s="1" t="s">
        <v>9</v>
      </c>
      <c r="H153" s="1">
        <f>IF(COUNTIF($I$2:I153,I153)=1,H152+1,H152)</f>
        <v>25</v>
      </c>
      <c r="I153" s="1" t="s">
        <v>28</v>
      </c>
      <c r="K153" s="1" t="str">
        <f>IFERROR(VLOOKUP(ROWS($J$2:J153),$H$2:$I$570,2,0),"")</f>
        <v>Naivas Umoja</v>
      </c>
    </row>
    <row r="154" spans="1:11" x14ac:dyDescent="0.2">
      <c r="A154" s="1">
        <f>IF(COUNTIF($B$2:B154,B154)=1,A153+1,A153)</f>
        <v>11</v>
      </c>
      <c r="B154" s="1" t="s">
        <v>4</v>
      </c>
      <c r="H154" s="1">
        <f>IF(COUNTIF($I$2:I154,I154)=1,H153+1,H153)</f>
        <v>25</v>
      </c>
      <c r="I154" s="1" t="s">
        <v>28</v>
      </c>
      <c r="K154" s="1" t="str">
        <f>IFERROR(VLOOKUP(ROWS($J$2:J154),$H$2:$I$570,2,0),"")</f>
        <v>Naivas Utawala</v>
      </c>
    </row>
    <row r="155" spans="1:11" x14ac:dyDescent="0.2">
      <c r="A155" s="1">
        <f>IF(COUNTIF($B$2:B155,B155)=1,A154+1,A154)</f>
        <v>11</v>
      </c>
      <c r="B155" s="1" t="s">
        <v>9</v>
      </c>
      <c r="H155" s="1">
        <f>IF(COUNTIF($I$2:I155,I155)=1,H154+1,H154)</f>
        <v>25</v>
      </c>
      <c r="I155" s="1" t="s">
        <v>28</v>
      </c>
      <c r="K155" s="1" t="str">
        <f>IFERROR(VLOOKUP(ROWS($J$2:J155),$H$2:$I$570,2,0),"")</f>
        <v>Naivas Waterfront</v>
      </c>
    </row>
    <row r="156" spans="1:11" x14ac:dyDescent="0.2">
      <c r="A156" s="1">
        <f>IF(COUNTIF($B$2:B156,B156)=1,A155+1,A155)</f>
        <v>11</v>
      </c>
      <c r="B156" s="1" t="s">
        <v>9</v>
      </c>
      <c r="H156" s="1">
        <f>IF(COUNTIF($I$2:I156,I156)=1,H155+1,H155)</f>
        <v>26</v>
      </c>
      <c r="I156" s="1" t="s">
        <v>152</v>
      </c>
      <c r="K156" s="1" t="str">
        <f>IFERROR(VLOOKUP(ROWS($J$2:J156),$H$2:$I$570,2,0),"")</f>
        <v>Naivas Westlands</v>
      </c>
    </row>
    <row r="157" spans="1:11" x14ac:dyDescent="0.2">
      <c r="A157" s="1">
        <f>IF(COUNTIF($B$2:B157,B157)=1,A156+1,A156)</f>
        <v>11</v>
      </c>
      <c r="B157" s="1" t="s">
        <v>9</v>
      </c>
      <c r="H157" s="1">
        <f>IF(COUNTIF($I$2:I157,I157)=1,H156+1,H156)</f>
        <v>26</v>
      </c>
      <c r="I157" s="1" t="s">
        <v>152</v>
      </c>
      <c r="K157" s="1" t="str">
        <f>IFERROR(VLOOKUP(ROWS($J$2:J157),$H$2:$I$570,2,0),"")</f>
        <v>Naivas Westside</v>
      </c>
    </row>
    <row r="158" spans="1:11" x14ac:dyDescent="0.2">
      <c r="A158" s="1">
        <f>IF(COUNTIF($B$2:B158,B158)=1,A157+1,A157)</f>
        <v>11</v>
      </c>
      <c r="B158" s="1" t="s">
        <v>8</v>
      </c>
      <c r="H158" s="1">
        <f>IF(COUNTIF($I$2:I158,I158)=1,H157+1,H157)</f>
        <v>27</v>
      </c>
      <c r="I158" s="1" t="s">
        <v>194</v>
      </c>
      <c r="K158" s="1" t="str">
        <f>IFERROR(VLOOKUP(ROWS($J$2:J158),$H$2:$I$570,2,0),"")</f>
        <v>Naivas Zion</v>
      </c>
    </row>
    <row r="159" spans="1:11" x14ac:dyDescent="0.2">
      <c r="A159" s="1">
        <f>IF(COUNTIF($B$2:B159,B159)=1,A158+1,A158)</f>
        <v>11</v>
      </c>
      <c r="B159" s="1" t="s">
        <v>8</v>
      </c>
      <c r="H159" s="1">
        <f>IF(COUNTIF($I$2:I159,I159)=1,H158+1,H158)</f>
        <v>27</v>
      </c>
      <c r="I159" s="1" t="s">
        <v>194</v>
      </c>
      <c r="K159" s="1" t="str">
        <f>IFERROR(VLOOKUP(ROWS($J$2:J159),$H$2:$I$570,2,0),"")</f>
        <v>Onn The Way Gigiri</v>
      </c>
    </row>
    <row r="160" spans="1:11" x14ac:dyDescent="0.2">
      <c r="A160" s="1">
        <f>IF(COUNTIF($B$2:B160,B160)=1,A159+1,A159)</f>
        <v>11</v>
      </c>
      <c r="B160" s="1" t="s">
        <v>8</v>
      </c>
      <c r="H160" s="1">
        <f>IF(COUNTIF($I$2:I160,I160)=1,H159+1,H159)</f>
        <v>28</v>
      </c>
      <c r="I160" s="1" t="s">
        <v>171</v>
      </c>
      <c r="K160" s="1" t="str">
        <f>IFERROR(VLOOKUP(ROWS($J$2:J160),$H$2:$I$570,2,0),"")</f>
        <v>Onn The Way Muthaiga</v>
      </c>
    </row>
    <row r="161" spans="1:11" x14ac:dyDescent="0.2">
      <c r="A161" s="1">
        <f>IF(COUNTIF($B$2:B161,B161)=1,A160+1,A160)</f>
        <v>11</v>
      </c>
      <c r="B161" s="1" t="s">
        <v>11</v>
      </c>
      <c r="H161" s="1">
        <f>IF(COUNTIF($I$2:I161,I161)=1,H160+1,H160)</f>
        <v>28</v>
      </c>
      <c r="I161" s="1" t="s">
        <v>171</v>
      </c>
      <c r="K161" s="1" t="str">
        <f>IFERROR(VLOOKUP(ROWS($J$2:J161),$H$2:$I$570,2,0),"")</f>
        <v>Onn The Way Parklands</v>
      </c>
    </row>
    <row r="162" spans="1:11" x14ac:dyDescent="0.2">
      <c r="A162" s="1">
        <f>IF(COUNTIF($B$2:B162,B162)=1,A161+1,A161)</f>
        <v>11</v>
      </c>
      <c r="B162" s="1" t="s">
        <v>11</v>
      </c>
      <c r="H162" s="1">
        <f>IF(COUNTIF($I$2:I162,I162)=1,H161+1,H161)</f>
        <v>29</v>
      </c>
      <c r="I162" s="1" t="s">
        <v>212</v>
      </c>
      <c r="K162" s="1" t="str">
        <f>IFERROR(VLOOKUP(ROWS($J$2:J162),$H$2:$I$570,2,0),"")</f>
        <v>Powerstar Express</v>
      </c>
    </row>
    <row r="163" spans="1:11" x14ac:dyDescent="0.2">
      <c r="A163" s="1">
        <f>IF(COUNTIF($B$2:B163,B163)=1,A162+1,A162)</f>
        <v>11</v>
      </c>
      <c r="B163" s="1" t="s">
        <v>11</v>
      </c>
      <c r="H163" s="1">
        <f>IF(COUNTIF($I$2:I163,I163)=1,H162+1,H162)</f>
        <v>29</v>
      </c>
      <c r="I163" s="1" t="s">
        <v>212</v>
      </c>
      <c r="K163" s="1" t="str">
        <f>IFERROR(VLOOKUP(ROWS($J$2:J163),$H$2:$I$570,2,0),"")</f>
        <v>Powerstar Hyper</v>
      </c>
    </row>
    <row r="164" spans="1:11" x14ac:dyDescent="0.2">
      <c r="A164" s="1">
        <f>IF(COUNTIF($B$2:B164,B164)=1,A163+1,A163)</f>
        <v>11</v>
      </c>
      <c r="B164" s="1" t="s">
        <v>16</v>
      </c>
      <c r="H164" s="1">
        <f>IF(COUNTIF($I$2:I164,I164)=1,H163+1,H163)</f>
        <v>30</v>
      </c>
      <c r="I164" s="1" t="s">
        <v>27</v>
      </c>
      <c r="K164" s="1" t="str">
        <f>IFERROR(VLOOKUP(ROWS($J$2:J164),$H$2:$I$570,2,0),"")</f>
        <v>Powerstar Jambo</v>
      </c>
    </row>
    <row r="165" spans="1:11" x14ac:dyDescent="0.2">
      <c r="A165" s="1">
        <f>IF(COUNTIF($B$2:B165,B165)=1,A164+1,A164)</f>
        <v>11</v>
      </c>
      <c r="B165" s="1" t="s">
        <v>11</v>
      </c>
      <c r="H165" s="1">
        <f>IF(COUNTIF($I$2:I165,I165)=1,H164+1,H164)</f>
        <v>30</v>
      </c>
      <c r="I165" s="1" t="s">
        <v>27</v>
      </c>
      <c r="K165" s="1" t="str">
        <f>IFERROR(VLOOKUP(ROWS($J$2:J165),$H$2:$I$570,2,0),"")</f>
        <v>Powerstar Kasarani</v>
      </c>
    </row>
    <row r="166" spans="1:11" x14ac:dyDescent="0.2">
      <c r="A166" s="1">
        <f>IF(COUNTIF($B$2:B166,B166)=1,A165+1,A165)</f>
        <v>11</v>
      </c>
      <c r="B166" s="1" t="s">
        <v>11</v>
      </c>
      <c r="H166" s="1">
        <f>IF(COUNTIF($I$2:I166,I166)=1,H165+1,H165)</f>
        <v>31</v>
      </c>
      <c r="I166" s="1" t="s">
        <v>24</v>
      </c>
      <c r="K166" s="1" t="str">
        <f>IFERROR(VLOOKUP(ROWS($J$2:J166),$H$2:$I$570,2,0),"")</f>
        <v>Powerstar Kikuyu</v>
      </c>
    </row>
    <row r="167" spans="1:11" x14ac:dyDescent="0.2">
      <c r="A167" s="1">
        <f>IF(COUNTIF($B$2:B167,B167)=1,A166+1,A166)</f>
        <v>11</v>
      </c>
      <c r="B167" s="1" t="s">
        <v>11</v>
      </c>
      <c r="H167" s="1">
        <f>IF(COUNTIF($I$2:I167,I167)=1,H166+1,H166)</f>
        <v>31</v>
      </c>
      <c r="I167" s="1" t="s">
        <v>24</v>
      </c>
      <c r="K167" s="1" t="str">
        <f>IFERROR(VLOOKUP(ROWS($J$2:J167),$H$2:$I$570,2,0),"")</f>
        <v>Powerstar Kitengela</v>
      </c>
    </row>
    <row r="168" spans="1:11" x14ac:dyDescent="0.2">
      <c r="A168" s="1">
        <f>IF(COUNTIF($B$2:B168,B168)=1,A167+1,A167)</f>
        <v>11</v>
      </c>
      <c r="B168" s="1" t="s">
        <v>8</v>
      </c>
      <c r="H168" s="1">
        <f>IF(COUNTIF($I$2:I168,I168)=1,H167+1,H167)</f>
        <v>31</v>
      </c>
      <c r="I168" s="1" t="s">
        <v>24</v>
      </c>
      <c r="K168" s="1" t="str">
        <f>IFERROR(VLOOKUP(ROWS($J$2:J168),$H$2:$I$570,2,0),"")</f>
        <v>Powerstar Zimmerman</v>
      </c>
    </row>
    <row r="169" spans="1:11" x14ac:dyDescent="0.2">
      <c r="A169" s="1">
        <f>IF(COUNTIF($B$2:B169,B169)=1,A168+1,A168)</f>
        <v>11</v>
      </c>
      <c r="B169" s="1" t="s">
        <v>8</v>
      </c>
      <c r="H169" s="1">
        <f>IF(COUNTIF($I$2:I169,I169)=1,H168+1,H168)</f>
        <v>32</v>
      </c>
      <c r="I169" s="1" t="s">
        <v>19</v>
      </c>
      <c r="K169" s="1" t="str">
        <f>IFERROR(VLOOKUP(ROWS($J$2:J169),$H$2:$I$570,2,0),"")</f>
        <v>Quickmart Bandari</v>
      </c>
    </row>
    <row r="170" spans="1:11" x14ac:dyDescent="0.2">
      <c r="A170" s="1">
        <f>IF(COUNTIF($B$2:B170,B170)=1,A169+1,A169)</f>
        <v>11</v>
      </c>
      <c r="B170" s="1" t="s">
        <v>8</v>
      </c>
      <c r="H170" s="1">
        <f>IF(COUNTIF($I$2:I170,I170)=1,H169+1,H169)</f>
        <v>32</v>
      </c>
      <c r="I170" s="1" t="s">
        <v>19</v>
      </c>
      <c r="K170" s="1" t="str">
        <f>IFERROR(VLOOKUP(ROWS($J$2:J170),$H$2:$I$570,2,0),"")</f>
        <v>Quickmart Buruburu</v>
      </c>
    </row>
    <row r="171" spans="1:11" x14ac:dyDescent="0.2">
      <c r="A171" s="1">
        <f>IF(COUNTIF($B$2:B171,B171)=1,A170+1,A170)</f>
        <v>11</v>
      </c>
      <c r="B171" s="1" t="s">
        <v>8</v>
      </c>
      <c r="H171" s="1">
        <f>IF(COUNTIF($I$2:I171,I171)=1,H170+1,H170)</f>
        <v>32</v>
      </c>
      <c r="I171" s="1" t="s">
        <v>19</v>
      </c>
      <c r="K171" s="1" t="str">
        <f>IFERROR(VLOOKUP(ROWS($J$2:J171),$H$2:$I$570,2,0),"")</f>
        <v>Quickmart Chaka</v>
      </c>
    </row>
    <row r="172" spans="1:11" x14ac:dyDescent="0.2">
      <c r="A172" s="1">
        <f>IF(COUNTIF($B$2:B172,B172)=1,A171+1,A171)</f>
        <v>11</v>
      </c>
      <c r="B172" s="1" t="s">
        <v>8</v>
      </c>
      <c r="H172" s="1">
        <f>IF(COUNTIF($I$2:I172,I172)=1,H171+1,H171)</f>
        <v>32</v>
      </c>
      <c r="I172" s="1" t="s">
        <v>19</v>
      </c>
      <c r="K172" s="1" t="str">
        <f>IFERROR(VLOOKUP(ROWS($J$2:J172),$H$2:$I$570,2,0),"")</f>
        <v>Quickmart Chania</v>
      </c>
    </row>
    <row r="173" spans="1:11" x14ac:dyDescent="0.2">
      <c r="A173" s="1">
        <f>IF(COUNTIF($B$2:B173,B173)=1,A172+1,A172)</f>
        <v>11</v>
      </c>
      <c r="B173" s="1" t="s">
        <v>8</v>
      </c>
      <c r="H173" s="1">
        <f>IF(COUNTIF($I$2:I173,I173)=1,H172+1,H172)</f>
        <v>32</v>
      </c>
      <c r="I173" s="1" t="s">
        <v>19</v>
      </c>
      <c r="K173" s="1" t="str">
        <f>IFERROR(VLOOKUP(ROWS($J$2:J173),$H$2:$I$570,2,0),"")</f>
        <v>Quickmart Cross Road Karen</v>
      </c>
    </row>
    <row r="174" spans="1:11" x14ac:dyDescent="0.2">
      <c r="A174" s="1">
        <f>IF(COUNTIF($B$2:B174,B174)=1,A173+1,A173)</f>
        <v>11</v>
      </c>
      <c r="B174" s="1" t="s">
        <v>8</v>
      </c>
      <c r="H174" s="1">
        <f>IF(COUNTIF($I$2:I174,I174)=1,H173+1,H173)</f>
        <v>33</v>
      </c>
      <c r="I174" s="1" t="s">
        <v>235</v>
      </c>
      <c r="K174" s="1" t="str">
        <f>IFERROR(VLOOKUP(ROWS($J$2:J174),$H$2:$I$570,2,0),"")</f>
        <v>Quickmart Donholm</v>
      </c>
    </row>
    <row r="175" spans="1:11" x14ac:dyDescent="0.2">
      <c r="A175" s="1">
        <f>IF(COUNTIF($B$2:B175,B175)=1,A174+1,A174)</f>
        <v>11</v>
      </c>
      <c r="B175" s="1" t="s">
        <v>8</v>
      </c>
      <c r="H175" s="1">
        <f>IF(COUNTIF($I$2:I175,I175)=1,H174+1,H174)</f>
        <v>34</v>
      </c>
      <c r="I175" s="1" t="s">
        <v>62</v>
      </c>
      <c r="K175" s="1" t="str">
        <f>IFERROR(VLOOKUP(ROWS($J$2:J175),$H$2:$I$570,2,0),"")</f>
        <v>Quickmart Eastern By Pass 2</v>
      </c>
    </row>
    <row r="176" spans="1:11" x14ac:dyDescent="0.2">
      <c r="A176" s="1">
        <f>IF(COUNTIF($B$2:B176,B176)=1,A175+1,A175)</f>
        <v>11</v>
      </c>
      <c r="B176" s="1" t="s">
        <v>11</v>
      </c>
      <c r="H176" s="1">
        <f>IF(COUNTIF($I$2:I176,I176)=1,H175+1,H175)</f>
        <v>34</v>
      </c>
      <c r="I176" s="1" t="s">
        <v>62</v>
      </c>
      <c r="K176" s="1" t="str">
        <f>IFERROR(VLOOKUP(ROWS($J$2:J176),$H$2:$I$570,2,0),"")</f>
        <v>Quickmart Easternbypass 1</v>
      </c>
    </row>
    <row r="177" spans="1:11" x14ac:dyDescent="0.2">
      <c r="A177" s="1">
        <f>IF(COUNTIF($B$2:B177,B177)=1,A176+1,A176)</f>
        <v>11</v>
      </c>
      <c r="B177" s="1" t="s">
        <v>8</v>
      </c>
      <c r="H177" s="1">
        <f>IF(COUNTIF($I$2:I177,I177)=1,H176+1,H176)</f>
        <v>35</v>
      </c>
      <c r="I177" s="1" t="s">
        <v>95</v>
      </c>
      <c r="K177" s="1" t="str">
        <f>IFERROR(VLOOKUP(ROWS($J$2:J177),$H$2:$I$570,2,0),"")</f>
        <v>Quickmart Eld</v>
      </c>
    </row>
    <row r="178" spans="1:11" x14ac:dyDescent="0.2">
      <c r="A178" s="1">
        <f>IF(COUNTIF($B$2:B178,B178)=1,A177+1,A177)</f>
        <v>11</v>
      </c>
      <c r="B178" s="1" t="s">
        <v>11</v>
      </c>
      <c r="H178" s="1">
        <f>IF(COUNTIF($I$2:I178,I178)=1,H177+1,H177)</f>
        <v>35</v>
      </c>
      <c r="I178" s="1" t="s">
        <v>95</v>
      </c>
      <c r="K178" s="1" t="str">
        <f>IFERROR(VLOOKUP(ROWS($J$2:J178),$H$2:$I$570,2,0),"")</f>
        <v>Quickmart Embakassi</v>
      </c>
    </row>
    <row r="179" spans="1:11" x14ac:dyDescent="0.2">
      <c r="A179" s="1">
        <f>IF(COUNTIF($B$2:B179,B179)=1,A178+1,A178)</f>
        <v>11</v>
      </c>
      <c r="B179" s="1" t="s">
        <v>11</v>
      </c>
      <c r="H179" s="1">
        <f>IF(COUNTIF($I$2:I179,I179)=1,H178+1,H178)</f>
        <v>35</v>
      </c>
      <c r="I179" s="1" t="s">
        <v>95</v>
      </c>
      <c r="K179" s="1" t="str">
        <f>IFERROR(VLOOKUP(ROWS($J$2:J179),$H$2:$I$570,2,0),"")</f>
        <v>Quickmart Fedha</v>
      </c>
    </row>
    <row r="180" spans="1:11" x14ac:dyDescent="0.2">
      <c r="A180" s="1">
        <f>IF(COUNTIF($B$2:B180,B180)=1,A179+1,A179)</f>
        <v>11</v>
      </c>
      <c r="B180" s="1" t="s">
        <v>8</v>
      </c>
      <c r="H180" s="1">
        <f>IF(COUNTIF($I$2:I180,I180)=1,H179+1,H179)</f>
        <v>36</v>
      </c>
      <c r="I180" s="1" t="s">
        <v>38</v>
      </c>
      <c r="K180" s="1" t="str">
        <f>IFERROR(VLOOKUP(ROWS($J$2:J180),$H$2:$I$570,2,0),"")</f>
        <v>Quickmart Highway Mlolongo</v>
      </c>
    </row>
    <row r="181" spans="1:11" x14ac:dyDescent="0.2">
      <c r="A181" s="1">
        <f>IF(COUNTIF($B$2:B181,B181)=1,A180+1,A180)</f>
        <v>11</v>
      </c>
      <c r="B181" s="1" t="s">
        <v>8</v>
      </c>
      <c r="H181" s="1">
        <f>IF(COUNTIF($I$2:I181,I181)=1,H180+1,H180)</f>
        <v>36</v>
      </c>
      <c r="I181" s="1" t="s">
        <v>38</v>
      </c>
      <c r="K181" s="1" t="str">
        <f>IFERROR(VLOOKUP(ROWS($J$2:J181),$H$2:$I$570,2,0),"")</f>
        <v>Quickmart Jipange</v>
      </c>
    </row>
    <row r="182" spans="1:11" x14ac:dyDescent="0.2">
      <c r="A182" s="1">
        <f>IF(COUNTIF($B$2:B182,B182)=1,A181+1,A181)</f>
        <v>11</v>
      </c>
      <c r="B182" s="1" t="s">
        <v>9</v>
      </c>
      <c r="H182" s="1">
        <f>IF(COUNTIF($I$2:I182,I182)=1,H181+1,H181)</f>
        <v>36</v>
      </c>
      <c r="I182" s="1" t="s">
        <v>38</v>
      </c>
      <c r="K182" s="1" t="str">
        <f>IFERROR(VLOOKUP(ROWS($J$2:J182),$H$2:$I$570,2,0),"")</f>
        <v>Quickmart Kahawa Sukari</v>
      </c>
    </row>
    <row r="183" spans="1:11" x14ac:dyDescent="0.2">
      <c r="A183" s="1">
        <f>IF(COUNTIF($B$2:B183,B183)=1,A182+1,A182)</f>
        <v>11</v>
      </c>
      <c r="B183" s="1" t="s">
        <v>8</v>
      </c>
      <c r="H183" s="1">
        <f>IF(COUNTIF($I$2:I183,I183)=1,H182+1,H182)</f>
        <v>36</v>
      </c>
      <c r="I183" s="1" t="s">
        <v>38</v>
      </c>
      <c r="K183" s="1" t="str">
        <f>IFERROR(VLOOKUP(ROWS($J$2:J183),$H$2:$I$570,2,0),"")</f>
        <v>Quickmart Kahawa West</v>
      </c>
    </row>
    <row r="184" spans="1:11" x14ac:dyDescent="0.2">
      <c r="A184" s="1">
        <f>IF(COUNTIF($B$2:B184,B184)=1,A183+1,A183)</f>
        <v>11</v>
      </c>
      <c r="B184" s="1" t="s">
        <v>11</v>
      </c>
      <c r="H184" s="1">
        <f>IF(COUNTIF($I$2:I184,I184)=1,H183+1,H183)</f>
        <v>37</v>
      </c>
      <c r="I184" s="1" t="s">
        <v>36</v>
      </c>
      <c r="K184" s="1" t="str">
        <f>IFERROR(VLOOKUP(ROWS($J$2:J184),$H$2:$I$570,2,0),"")</f>
        <v>Quickmart Kakamega</v>
      </c>
    </row>
    <row r="185" spans="1:11" x14ac:dyDescent="0.2">
      <c r="A185" s="1">
        <f>IF(COUNTIF($B$2:B185,B185)=1,A184+1,A184)</f>
        <v>11</v>
      </c>
      <c r="B185" s="1" t="s">
        <v>8</v>
      </c>
      <c r="H185" s="1">
        <f>IF(COUNTIF($I$2:I185,I185)=1,H184+1,H184)</f>
        <v>37</v>
      </c>
      <c r="I185" s="1" t="s">
        <v>36</v>
      </c>
      <c r="K185" s="1" t="str">
        <f>IFERROR(VLOOKUP(ROWS($J$2:J185),$H$2:$I$570,2,0),"")</f>
        <v>Quickmart Kericho</v>
      </c>
    </row>
    <row r="186" spans="1:11" x14ac:dyDescent="0.2">
      <c r="A186" s="1">
        <f>IF(COUNTIF($B$2:B186,B186)=1,A185+1,A185)</f>
        <v>11</v>
      </c>
      <c r="B186" s="1" t="s">
        <v>9</v>
      </c>
      <c r="H186" s="1">
        <f>IF(COUNTIF($I$2:I186,I186)=1,H185+1,H185)</f>
        <v>37</v>
      </c>
      <c r="I186" s="1" t="s">
        <v>36</v>
      </c>
      <c r="K186" s="1" t="str">
        <f>IFERROR(VLOOKUP(ROWS($J$2:J186),$H$2:$I$570,2,0),"")</f>
        <v>Quickmart Kiambu Rd</v>
      </c>
    </row>
    <row r="187" spans="1:11" x14ac:dyDescent="0.2">
      <c r="A187" s="1">
        <f>IF(COUNTIF($B$2:B187,B187)=1,A186+1,A186)</f>
        <v>11</v>
      </c>
      <c r="B187" s="1" t="s">
        <v>11</v>
      </c>
      <c r="H187" s="1">
        <f>IF(COUNTIF($I$2:I187,I187)=1,H186+1,H186)</f>
        <v>38</v>
      </c>
      <c r="I187" s="1" t="s">
        <v>59</v>
      </c>
      <c r="K187" s="1" t="str">
        <f>IFERROR(VLOOKUP(ROWS($J$2:J187),$H$2:$I$570,2,0),"")</f>
        <v>Quickmart Kikiyu Rd</v>
      </c>
    </row>
    <row r="188" spans="1:11" x14ac:dyDescent="0.2">
      <c r="A188" s="1">
        <f>IF(COUNTIF($B$2:B188,B188)=1,A187+1,A187)</f>
        <v>11</v>
      </c>
      <c r="B188" s="1" t="s">
        <v>9</v>
      </c>
      <c r="H188" s="1">
        <f>IF(COUNTIF($I$2:I188,I188)=1,H187+1,H187)</f>
        <v>38</v>
      </c>
      <c r="I188" s="1" t="s">
        <v>59</v>
      </c>
      <c r="K188" s="1" t="str">
        <f>IFERROR(VLOOKUP(ROWS($J$2:J188),$H$2:$I$570,2,0),"")</f>
        <v>Quickmart Kikuyu</v>
      </c>
    </row>
    <row r="189" spans="1:11" x14ac:dyDescent="0.2">
      <c r="A189" s="1">
        <f>IF(COUNTIF($B$2:B189,B189)=1,A188+1,A188)</f>
        <v>11</v>
      </c>
      <c r="B189" s="1" t="s">
        <v>9</v>
      </c>
      <c r="H189" s="1">
        <f>IF(COUNTIF($I$2:I189,I189)=1,H188+1,H188)</f>
        <v>38</v>
      </c>
      <c r="I189" s="1" t="s">
        <v>59</v>
      </c>
      <c r="K189" s="1" t="str">
        <f>IFERROR(VLOOKUP(ROWS($J$2:J189),$H$2:$I$570,2,0),"")</f>
        <v>Quickmart Kilimani</v>
      </c>
    </row>
    <row r="190" spans="1:11" x14ac:dyDescent="0.2">
      <c r="A190" s="1">
        <f>IF(COUNTIF($B$2:B190,B190)=1,A189+1,A189)</f>
        <v>11</v>
      </c>
      <c r="B190" s="1" t="s">
        <v>11</v>
      </c>
      <c r="H190" s="1">
        <f>IF(COUNTIF($I$2:I190,I190)=1,H189+1,H189)</f>
        <v>39</v>
      </c>
      <c r="I190" s="1" t="s">
        <v>53</v>
      </c>
      <c r="K190" s="1" t="str">
        <f>IFERROR(VLOOKUP(ROWS($J$2:J190),$H$2:$I$570,2,0),"")</f>
        <v>Quickmart Kiserian</v>
      </c>
    </row>
    <row r="191" spans="1:11" x14ac:dyDescent="0.2">
      <c r="A191" s="1">
        <f>IF(COUNTIF($B$2:B191,B191)=1,A190+1,A190)</f>
        <v>11</v>
      </c>
      <c r="B191" s="1" t="s">
        <v>9</v>
      </c>
      <c r="H191" s="1">
        <f>IF(COUNTIF($I$2:I191,I191)=1,H190+1,H190)</f>
        <v>39</v>
      </c>
      <c r="I191" s="1" t="s">
        <v>53</v>
      </c>
      <c r="K191" s="1" t="str">
        <f>IFERROR(VLOOKUP(ROWS($J$2:J191),$H$2:$I$570,2,0),"")</f>
        <v>Quickmart Kisii</v>
      </c>
    </row>
    <row r="192" spans="1:11" x14ac:dyDescent="0.2">
      <c r="A192" s="1">
        <f>IF(COUNTIF($B$2:B192,B192)=1,A191+1,A191)</f>
        <v>11</v>
      </c>
      <c r="B192" s="1" t="s">
        <v>9</v>
      </c>
      <c r="H192" s="1">
        <f>IF(COUNTIF($I$2:I192,I192)=1,H191+1,H191)</f>
        <v>39</v>
      </c>
      <c r="I192" s="1" t="s">
        <v>53</v>
      </c>
      <c r="K192" s="1" t="str">
        <f>IFERROR(VLOOKUP(ROWS($J$2:J192),$H$2:$I$570,2,0),"")</f>
        <v>Quickmart Kitale</v>
      </c>
    </row>
    <row r="193" spans="1:11" x14ac:dyDescent="0.2">
      <c r="A193" s="1">
        <f>IF(COUNTIF($B$2:B193,B193)=1,A192+1,A192)</f>
        <v>11</v>
      </c>
      <c r="B193" s="1" t="s">
        <v>5</v>
      </c>
      <c r="H193" s="1">
        <f>IF(COUNTIF($I$2:I193,I193)=1,H192+1,H192)</f>
        <v>40</v>
      </c>
      <c r="I193" s="1" t="s">
        <v>35</v>
      </c>
      <c r="K193" s="1" t="str">
        <f>IFERROR(VLOOKUP(ROWS($J$2:J193),$H$2:$I$570,2,0),"")</f>
        <v>Quickmart Kitengela</v>
      </c>
    </row>
    <row r="194" spans="1:11" x14ac:dyDescent="0.2">
      <c r="A194" s="1">
        <f>IF(COUNTIF($B$2:B194,B194)=1,A193+1,A193)</f>
        <v>11</v>
      </c>
      <c r="B194" s="1" t="s">
        <v>11</v>
      </c>
      <c r="H194" s="1">
        <f>IF(COUNTIF($I$2:I194,I194)=1,H193+1,H193)</f>
        <v>40</v>
      </c>
      <c r="I194" s="1" t="s">
        <v>35</v>
      </c>
      <c r="K194" s="1" t="str">
        <f>IFERROR(VLOOKUP(ROWS($J$2:J194),$H$2:$I$570,2,0),"")</f>
        <v>Quickmart Kitui</v>
      </c>
    </row>
    <row r="195" spans="1:11" x14ac:dyDescent="0.2">
      <c r="A195" s="1">
        <f>IF(COUNTIF($B$2:B195,B195)=1,A194+1,A194)</f>
        <v>11</v>
      </c>
      <c r="B195" s="1" t="s">
        <v>14</v>
      </c>
      <c r="H195" s="1">
        <f>IF(COUNTIF($I$2:I195,I195)=1,H194+1,H194)</f>
        <v>40</v>
      </c>
      <c r="I195" s="1" t="s">
        <v>35</v>
      </c>
      <c r="K195" s="1" t="str">
        <f>IFERROR(VLOOKUP(ROWS($J$2:J195),$H$2:$I$570,2,0),"")</f>
        <v>Quickmart Kondele</v>
      </c>
    </row>
    <row r="196" spans="1:11" x14ac:dyDescent="0.2">
      <c r="A196" s="1">
        <f>IF(COUNTIF($B$2:B196,B196)=1,A195+1,A195)</f>
        <v>11</v>
      </c>
      <c r="B196" s="1" t="s">
        <v>4</v>
      </c>
      <c r="H196" s="1">
        <f>IF(COUNTIF($I$2:I196,I196)=1,H195+1,H195)</f>
        <v>41</v>
      </c>
      <c r="I196" s="1" t="s">
        <v>21</v>
      </c>
      <c r="K196" s="1" t="str">
        <f>IFERROR(VLOOKUP(ROWS($J$2:J196),$H$2:$I$570,2,0),"")</f>
        <v>Quickmart Lavington</v>
      </c>
    </row>
    <row r="197" spans="1:11" x14ac:dyDescent="0.2">
      <c r="A197" s="1">
        <f>IF(COUNTIF($B$2:B197,B197)=1,A196+1,A196)</f>
        <v>11</v>
      </c>
      <c r="B197" s="1" t="s">
        <v>11</v>
      </c>
      <c r="H197" s="1">
        <f>IF(COUNTIF($I$2:I197,I197)=1,H196+1,H196)</f>
        <v>41</v>
      </c>
      <c r="I197" s="1" t="s">
        <v>21</v>
      </c>
      <c r="K197" s="1" t="str">
        <f>IFERROR(VLOOKUP(ROWS($J$2:J197),$H$2:$I$570,2,0),"")</f>
        <v>Quickmart Machakos Express</v>
      </c>
    </row>
    <row r="198" spans="1:11" x14ac:dyDescent="0.2">
      <c r="A198" s="1">
        <f>IF(COUNTIF($B$2:B198,B198)=1,A197+1,A197)</f>
        <v>11</v>
      </c>
      <c r="B198" s="1" t="s">
        <v>11</v>
      </c>
      <c r="H198" s="1">
        <f>IF(COUNTIF($I$2:I198,I198)=1,H197+1,H197)</f>
        <v>41</v>
      </c>
      <c r="I198" s="1" t="s">
        <v>21</v>
      </c>
      <c r="K198" s="1" t="str">
        <f>IFERROR(VLOOKUP(ROWS($J$2:J198),$H$2:$I$570,2,0),"")</f>
        <v>Quickmart Machakos Pioneer</v>
      </c>
    </row>
    <row r="199" spans="1:11" x14ac:dyDescent="0.2">
      <c r="A199" s="1">
        <f>IF(COUNTIF($B$2:B199,B199)=1,A198+1,A198)</f>
        <v>11</v>
      </c>
      <c r="B199" s="1" t="s">
        <v>9</v>
      </c>
      <c r="H199" s="1">
        <f>IF(COUNTIF($I$2:I199,I199)=1,H198+1,H198)</f>
        <v>41</v>
      </c>
      <c r="I199" s="1" t="s">
        <v>21</v>
      </c>
      <c r="K199" s="1" t="str">
        <f>IFERROR(VLOOKUP(ROWS($J$2:J199),$H$2:$I$570,2,0),"")</f>
        <v>Quickmart Mayfair</v>
      </c>
    </row>
    <row r="200" spans="1:11" x14ac:dyDescent="0.2">
      <c r="A200" s="1">
        <f>IF(COUNTIF($B$2:B200,B200)=1,A199+1,A199)</f>
        <v>11</v>
      </c>
      <c r="B200" s="1" t="s">
        <v>9</v>
      </c>
      <c r="H200" s="1">
        <f>IF(COUNTIF($I$2:I200,I200)=1,H199+1,H199)</f>
        <v>41</v>
      </c>
      <c r="I200" s="1" t="s">
        <v>21</v>
      </c>
      <c r="K200" s="1" t="str">
        <f>IFERROR(VLOOKUP(ROWS($J$2:J200),$H$2:$I$570,2,0),"")</f>
        <v>Quickmart Mfangano</v>
      </c>
    </row>
    <row r="201" spans="1:11" x14ac:dyDescent="0.2">
      <c r="A201" s="1">
        <f>IF(COUNTIF($B$2:B201,B201)=1,A200+1,A200)</f>
        <v>11</v>
      </c>
      <c r="B201" s="1" t="s">
        <v>9</v>
      </c>
      <c r="H201" s="1">
        <f>IF(COUNTIF($I$2:I201,I201)=1,H200+1,H200)</f>
        <v>42</v>
      </c>
      <c r="I201" s="1" t="s">
        <v>34</v>
      </c>
      <c r="K201" s="1" t="str">
        <f>IFERROR(VLOOKUP(ROWS($J$2:J201),$H$2:$I$570,2,0),"")</f>
        <v>Quickmart Milele</v>
      </c>
    </row>
    <row r="202" spans="1:11" x14ac:dyDescent="0.2">
      <c r="A202" s="1">
        <f>IF(COUNTIF($B$2:B202,B202)=1,A201+1,A201)</f>
        <v>11</v>
      </c>
      <c r="B202" s="1" t="s">
        <v>8</v>
      </c>
      <c r="H202" s="1">
        <f>IF(COUNTIF($I$2:I202,I202)=1,H201+1,H201)</f>
        <v>42</v>
      </c>
      <c r="I202" s="1" t="s">
        <v>34</v>
      </c>
      <c r="K202" s="1" t="str">
        <f>IFERROR(VLOOKUP(ROWS($J$2:J202),$H$2:$I$570,2,0),"")</f>
        <v>Quickmart Mombasa Rd</v>
      </c>
    </row>
    <row r="203" spans="1:11" x14ac:dyDescent="0.2">
      <c r="A203" s="1">
        <f>IF(COUNTIF($B$2:B203,B203)=1,A202+1,A202)</f>
        <v>11</v>
      </c>
      <c r="B203" s="1" t="s">
        <v>11</v>
      </c>
      <c r="H203" s="1">
        <f>IF(COUNTIF($I$2:I203,I203)=1,H202+1,H202)</f>
        <v>42</v>
      </c>
      <c r="I203" s="1" t="s">
        <v>34</v>
      </c>
      <c r="K203" s="1" t="str">
        <f>IFERROR(VLOOKUP(ROWS($J$2:J203),$H$2:$I$570,2,0),"")</f>
        <v>Quickmart Mtwapa Express</v>
      </c>
    </row>
    <row r="204" spans="1:11" x14ac:dyDescent="0.2">
      <c r="A204" s="1">
        <f>IF(COUNTIF($B$2:B204,B204)=1,A203+1,A203)</f>
        <v>11</v>
      </c>
      <c r="B204" s="1" t="s">
        <v>11</v>
      </c>
      <c r="H204" s="1">
        <f>IF(COUNTIF($I$2:I204,I204)=1,H203+1,H203)</f>
        <v>43</v>
      </c>
      <c r="I204" s="1" t="s">
        <v>20</v>
      </c>
      <c r="K204" s="1" t="str">
        <f>IFERROR(VLOOKUP(ROWS($J$2:J204),$H$2:$I$570,2,0),"")</f>
        <v>Quickmart Mtwapa Mall</v>
      </c>
    </row>
    <row r="205" spans="1:11" x14ac:dyDescent="0.2">
      <c r="A205" s="1">
        <f>IF(COUNTIF($B$2:B205,B205)=1,A204+1,A204)</f>
        <v>11</v>
      </c>
      <c r="B205" s="1" t="s">
        <v>14</v>
      </c>
      <c r="H205" s="1">
        <f>IF(COUNTIF($I$2:I205,I205)=1,H204+1,H204)</f>
        <v>43</v>
      </c>
      <c r="I205" s="1" t="s">
        <v>20</v>
      </c>
      <c r="K205" s="1" t="str">
        <f>IFERROR(VLOOKUP(ROWS($J$2:J205),$H$2:$I$570,2,0),"")</f>
        <v>Quickmart Nakuru</v>
      </c>
    </row>
    <row r="206" spans="1:11" x14ac:dyDescent="0.2">
      <c r="A206" s="1">
        <f>IF(COUNTIF($B$2:B206,B206)=1,A205+1,A205)</f>
        <v>11</v>
      </c>
      <c r="B206" s="1" t="s">
        <v>4</v>
      </c>
      <c r="H206" s="1">
        <f>IF(COUNTIF($I$2:I206,I206)=1,H205+1,H205)</f>
        <v>43</v>
      </c>
      <c r="I206" s="1" t="s">
        <v>20</v>
      </c>
      <c r="K206" s="1" t="str">
        <f>IFERROR(VLOOKUP(ROWS($J$2:J206),$H$2:$I$570,2,0),"")</f>
        <v>Quickmart Nanyuki</v>
      </c>
    </row>
    <row r="207" spans="1:11" x14ac:dyDescent="0.2">
      <c r="A207" s="1">
        <f>IF(COUNTIF($B$2:B207,B207)=1,A206+1,A206)</f>
        <v>11</v>
      </c>
      <c r="B207" s="1" t="s">
        <v>11</v>
      </c>
      <c r="H207" s="1">
        <f>IF(COUNTIF($I$2:I207,I207)=1,H206+1,H206)</f>
        <v>44</v>
      </c>
      <c r="I207" s="1" t="s">
        <v>30</v>
      </c>
      <c r="K207" s="1" t="str">
        <f>IFERROR(VLOOKUP(ROWS($J$2:J207),$H$2:$I$570,2,0),"")</f>
        <v>Quickmart Nyalenda</v>
      </c>
    </row>
    <row r="208" spans="1:11" x14ac:dyDescent="0.2">
      <c r="A208" s="1">
        <f>IF(COUNTIF($B$2:B208,B208)=1,A207+1,A207)</f>
        <v>11</v>
      </c>
      <c r="B208" s="1" t="s">
        <v>5</v>
      </c>
      <c r="H208" s="1">
        <f>IF(COUNTIF($I$2:I208,I208)=1,H207+1,H207)</f>
        <v>44</v>
      </c>
      <c r="I208" s="1" t="s">
        <v>30</v>
      </c>
      <c r="K208" s="1" t="str">
        <f>IFERROR(VLOOKUP(ROWS($J$2:J208),$H$2:$I$570,2,0),"")</f>
        <v>Quickmart Oginga Odinga</v>
      </c>
    </row>
    <row r="209" spans="1:11" x14ac:dyDescent="0.2">
      <c r="A209" s="1">
        <f>IF(COUNTIF($B$2:B209,B209)=1,A208+1,A208)</f>
        <v>11</v>
      </c>
      <c r="B209" s="1" t="s">
        <v>4</v>
      </c>
      <c r="H209" s="1">
        <f>IF(COUNTIF($I$2:I209,I209)=1,H208+1,H208)</f>
        <v>44</v>
      </c>
      <c r="I209" s="1" t="s">
        <v>30</v>
      </c>
      <c r="K209" s="1" t="str">
        <f>IFERROR(VLOOKUP(ROWS($J$2:J209),$H$2:$I$570,2,0),"")</f>
        <v>Quickmart Otc</v>
      </c>
    </row>
    <row r="210" spans="1:11" x14ac:dyDescent="0.2">
      <c r="A210" s="1">
        <f>IF(COUNTIF($B$2:B210,B210)=1,A209+1,A209)</f>
        <v>11</v>
      </c>
      <c r="B210" s="1" t="s">
        <v>4</v>
      </c>
      <c r="H210" s="1">
        <f>IF(COUNTIF($I$2:I210,I210)=1,H209+1,H209)</f>
        <v>45</v>
      </c>
      <c r="I210" s="1" t="s">
        <v>202</v>
      </c>
      <c r="K210" s="1" t="str">
        <f>IFERROR(VLOOKUP(ROWS($J$2:J210),$H$2:$I$570,2,0),"")</f>
        <v>Quickmart Outering</v>
      </c>
    </row>
    <row r="211" spans="1:11" x14ac:dyDescent="0.2">
      <c r="A211" s="1">
        <f>IF(COUNTIF($B$2:B211,B211)=1,A210+1,A210)</f>
        <v>11</v>
      </c>
      <c r="B211" s="1" t="s">
        <v>11</v>
      </c>
      <c r="H211" s="1">
        <f>IF(COUNTIF($I$2:I211,I211)=1,H210+1,H210)</f>
        <v>46</v>
      </c>
      <c r="I211" s="1" t="s">
        <v>29</v>
      </c>
      <c r="K211" s="1" t="str">
        <f>IFERROR(VLOOKUP(ROWS($J$2:J211),$H$2:$I$570,2,0),"")</f>
        <v>Quickmart Pioneer</v>
      </c>
    </row>
    <row r="212" spans="1:11" x14ac:dyDescent="0.2">
      <c r="A212" s="1">
        <f>IF(COUNTIF($B$2:B212,B212)=1,A211+1,A211)</f>
        <v>11</v>
      </c>
      <c r="B212" s="1" t="s">
        <v>11</v>
      </c>
      <c r="H212" s="1">
        <f>IF(COUNTIF($I$2:I212,I212)=1,H211+1,H211)</f>
        <v>46</v>
      </c>
      <c r="I212" s="1" t="s">
        <v>29</v>
      </c>
      <c r="K212" s="1" t="str">
        <f>IFERROR(VLOOKUP(ROWS($J$2:J212),$H$2:$I$570,2,0),"")</f>
        <v>Quickmart Pionner</v>
      </c>
    </row>
    <row r="213" spans="1:11" x14ac:dyDescent="0.2">
      <c r="A213" s="1">
        <f>IF(COUNTIF($B$2:B213,B213)=1,A212+1,A212)</f>
        <v>11</v>
      </c>
      <c r="B213" s="1" t="s">
        <v>5</v>
      </c>
      <c r="H213" s="1">
        <f>IF(COUNTIF($I$2:I213,I213)=1,H212+1,H212)</f>
        <v>46</v>
      </c>
      <c r="I213" s="1" t="s">
        <v>29</v>
      </c>
      <c r="K213" s="1" t="str">
        <f>IFERROR(VLOOKUP(ROWS($J$2:J213),$H$2:$I$570,2,0),"")</f>
        <v>Quickmart Pipeline</v>
      </c>
    </row>
    <row r="214" spans="1:11" x14ac:dyDescent="0.2">
      <c r="A214" s="1">
        <f>IF(COUNTIF($B$2:B214,B214)=1,A213+1,A213)</f>
        <v>11</v>
      </c>
      <c r="B214" s="1" t="s">
        <v>11</v>
      </c>
      <c r="H214" s="1">
        <f>IF(COUNTIF($I$2:I214,I214)=1,H213+1,H213)</f>
        <v>47</v>
      </c>
      <c r="I214" s="1" t="s">
        <v>172</v>
      </c>
      <c r="K214" s="1" t="str">
        <f>IFERROR(VLOOKUP(ROWS($J$2:J214),$H$2:$I$570,2,0),"")</f>
        <v>Quickmart Ronagai Main</v>
      </c>
    </row>
    <row r="215" spans="1:11" x14ac:dyDescent="0.2">
      <c r="A215" s="1">
        <f>IF(COUNTIF($B$2:B215,B215)=1,A214+1,A214)</f>
        <v>11</v>
      </c>
      <c r="B215" s="1" t="s">
        <v>9</v>
      </c>
      <c r="H215" s="1">
        <f>IF(COUNTIF($I$2:I215,I215)=1,H214+1,H214)</f>
        <v>48</v>
      </c>
      <c r="I215" s="1" t="s">
        <v>184</v>
      </c>
      <c r="K215" s="1" t="str">
        <f>IFERROR(VLOOKUP(ROWS($J$2:J215),$H$2:$I$570,2,0),"")</f>
        <v>Quickmart Rongai Expresss</v>
      </c>
    </row>
    <row r="216" spans="1:11" x14ac:dyDescent="0.2">
      <c r="A216" s="1">
        <f>IF(COUNTIF($B$2:B216,B216)=1,A215+1,A215)</f>
        <v>11</v>
      </c>
      <c r="B216" s="1" t="s">
        <v>9</v>
      </c>
      <c r="H216" s="1">
        <f>IF(COUNTIF($I$2:I216,I216)=1,H215+1,H215)</f>
        <v>49</v>
      </c>
      <c r="I216" s="1" t="s">
        <v>213</v>
      </c>
      <c r="K216" s="1" t="str">
        <f>IFERROR(VLOOKUP(ROWS($J$2:J216),$H$2:$I$570,2,0),"")</f>
        <v>Quickmart Rongai Main</v>
      </c>
    </row>
    <row r="217" spans="1:11" x14ac:dyDescent="0.2">
      <c r="A217" s="1">
        <f>IF(COUNTIF($B$2:B217,B217)=1,A216+1,A216)</f>
        <v>11</v>
      </c>
      <c r="B217" s="1" t="s">
        <v>9</v>
      </c>
      <c r="H217" s="1">
        <f>IF(COUNTIF($I$2:I217,I217)=1,H216+1,H216)</f>
        <v>50</v>
      </c>
      <c r="I217" s="1" t="s">
        <v>219</v>
      </c>
      <c r="K217" s="1" t="str">
        <f>IFERROR(VLOOKUP(ROWS($J$2:J217),$H$2:$I$570,2,0),"")</f>
        <v>Quickmart Roysambu</v>
      </c>
    </row>
    <row r="218" spans="1:11" x14ac:dyDescent="0.2">
      <c r="A218" s="1">
        <f>IF(COUNTIF($B$2:B218,B218)=1,A217+1,A217)</f>
        <v>11</v>
      </c>
      <c r="B218" s="1" t="s">
        <v>9</v>
      </c>
      <c r="H218" s="1">
        <f>IF(COUNTIF($I$2:I218,I218)=1,H217+1,H217)</f>
        <v>51</v>
      </c>
      <c r="I218" s="1" t="s">
        <v>37</v>
      </c>
      <c r="K218" s="1" t="str">
        <f>IFERROR(VLOOKUP(ROWS($J$2:J218),$H$2:$I$570,2,0),"")</f>
        <v>Quickmart Ruai</v>
      </c>
    </row>
    <row r="219" spans="1:11" x14ac:dyDescent="0.2">
      <c r="A219" s="1">
        <f>IF(COUNTIF($B$2:B219,B219)=1,A218+1,A218)</f>
        <v>11</v>
      </c>
      <c r="B219" s="1" t="s">
        <v>9</v>
      </c>
      <c r="H219" s="1">
        <f>IF(COUNTIF($I$2:I219,I219)=1,H218+1,H218)</f>
        <v>51</v>
      </c>
      <c r="I219" s="1" t="s">
        <v>37</v>
      </c>
      <c r="K219" s="1" t="str">
        <f>IFERROR(VLOOKUP(ROWS($J$2:J219),$H$2:$I$570,2,0),"")</f>
        <v>Quickmart Ruaka</v>
      </c>
    </row>
    <row r="220" spans="1:11" x14ac:dyDescent="0.2">
      <c r="A220" s="1">
        <f>IF(COUNTIF($B$2:B220,B220)=1,A219+1,A219)</f>
        <v>11</v>
      </c>
      <c r="B220" s="1" t="s">
        <v>11</v>
      </c>
      <c r="H220" s="1">
        <f>IF(COUNTIF($I$2:I220,I220)=1,H219+1,H219)</f>
        <v>52</v>
      </c>
      <c r="I220" s="1" t="s">
        <v>83</v>
      </c>
      <c r="K220" s="1" t="str">
        <f>IFERROR(VLOOKUP(ROWS($J$2:J220),$H$2:$I$570,2,0),"")</f>
        <v>Quickmart Ruiru</v>
      </c>
    </row>
    <row r="221" spans="1:11" x14ac:dyDescent="0.2">
      <c r="A221" s="1">
        <f>IF(COUNTIF($B$2:B221,B221)=1,A220+1,A220)</f>
        <v>11</v>
      </c>
      <c r="B221" s="1" t="s">
        <v>11</v>
      </c>
      <c r="H221" s="1">
        <f>IF(COUNTIF($I$2:I221,I221)=1,H220+1,H220)</f>
        <v>52</v>
      </c>
      <c r="I221" s="1" t="s">
        <v>83</v>
      </c>
      <c r="K221" s="1" t="str">
        <f>IFERROR(VLOOKUP(ROWS($J$2:J221),$H$2:$I$570,2,0),"")</f>
        <v>Quickmart Tmall</v>
      </c>
    </row>
    <row r="222" spans="1:11" x14ac:dyDescent="0.2">
      <c r="A222" s="1">
        <f>IF(COUNTIF($B$2:B222,B222)=1,A221+1,A221)</f>
        <v>11</v>
      </c>
      <c r="B222" s="1" t="s">
        <v>11</v>
      </c>
      <c r="H222" s="1">
        <f>IF(COUNTIF($I$2:I222,I222)=1,H221+1,H221)</f>
        <v>53</v>
      </c>
      <c r="I222" s="1" t="s">
        <v>166</v>
      </c>
      <c r="K222" s="1" t="str">
        <f>IFERROR(VLOOKUP(ROWS($J$2:J222),$H$2:$I$570,2,0),"")</f>
        <v>Quickmart Tom Mboya</v>
      </c>
    </row>
    <row r="223" spans="1:11" x14ac:dyDescent="0.2">
      <c r="A223" s="1">
        <f>IF(COUNTIF($B$2:B223,B223)=1,A222+1,A222)</f>
        <v>11</v>
      </c>
      <c r="B223" s="1" t="s">
        <v>11</v>
      </c>
      <c r="H223" s="1">
        <f>IF(COUNTIF($I$2:I223,I223)=1,H222+1,H222)</f>
        <v>54</v>
      </c>
      <c r="I223" s="1" t="s">
        <v>176</v>
      </c>
      <c r="K223" s="1" t="str">
        <f>IFERROR(VLOOKUP(ROWS($J$2:J223),$H$2:$I$570,2,0),"")</f>
        <v>Quickmart Utawal Main</v>
      </c>
    </row>
    <row r="224" spans="1:11" x14ac:dyDescent="0.2">
      <c r="A224" s="1">
        <f>IF(COUNTIF($B$2:B224,B224)=1,A223+1,A223)</f>
        <v>11</v>
      </c>
      <c r="B224" s="1" t="s">
        <v>11</v>
      </c>
      <c r="H224" s="1">
        <f>IF(COUNTIF($I$2:I224,I224)=1,H223+1,H223)</f>
        <v>55</v>
      </c>
      <c r="I224" s="1" t="s">
        <v>198</v>
      </c>
      <c r="K224" s="1" t="str">
        <f>IFERROR(VLOOKUP(ROWS($J$2:J224),$H$2:$I$570,2,0),"")</f>
        <v>Quickmart Utawala Express</v>
      </c>
    </row>
    <row r="225" spans="1:11" x14ac:dyDescent="0.2">
      <c r="A225" s="1">
        <f>IF(COUNTIF($B$2:B225,B225)=1,A224+1,A224)</f>
        <v>11</v>
      </c>
      <c r="B225" s="1" t="s">
        <v>5</v>
      </c>
      <c r="H225" s="1">
        <f>IF(COUNTIF($I$2:I225,I225)=1,H224+1,H224)</f>
        <v>56</v>
      </c>
      <c r="I225" s="1" t="s">
        <v>205</v>
      </c>
      <c r="K225" s="1" t="str">
        <f>IFERROR(VLOOKUP(ROWS($J$2:J225),$H$2:$I$570,2,0),"")</f>
        <v>Quickmart Utawala Main</v>
      </c>
    </row>
    <row r="226" spans="1:11" x14ac:dyDescent="0.2">
      <c r="A226" s="1">
        <f>IF(COUNTIF($B$2:B226,B226)=1,A225+1,A225)</f>
        <v>11</v>
      </c>
      <c r="B226" s="1" t="s">
        <v>11</v>
      </c>
      <c r="H226" s="1">
        <f>IF(COUNTIF($I$2:I226,I226)=1,H225+1,H225)</f>
        <v>57</v>
      </c>
      <c r="I226" s="1" t="s">
        <v>122</v>
      </c>
      <c r="K226" s="1" t="str">
        <f>IFERROR(VLOOKUP(ROWS($J$2:J226),$H$2:$I$570,2,0),"")</f>
        <v>Quickmart Waiyaki</v>
      </c>
    </row>
    <row r="227" spans="1:11" x14ac:dyDescent="0.2">
      <c r="A227" s="1">
        <f>IF(COUNTIF($B$2:B227,B227)=1,A226+1,A226)</f>
        <v>11</v>
      </c>
      <c r="B227" s="1" t="s">
        <v>11</v>
      </c>
      <c r="H227" s="1">
        <f>IF(COUNTIF($I$2:I227,I227)=1,H226+1,H226)</f>
        <v>57</v>
      </c>
      <c r="I227" s="1" t="s">
        <v>122</v>
      </c>
      <c r="K227" s="1" t="str">
        <f>IFERROR(VLOOKUP(ROWS($J$2:J227),$H$2:$I$570,2,0),"")</f>
        <v>Quickmart Westlands</v>
      </c>
    </row>
    <row r="228" spans="1:11" x14ac:dyDescent="0.2">
      <c r="A228" s="1">
        <f>IF(COUNTIF($B$2:B228,B228)=1,A227+1,A227)</f>
        <v>11</v>
      </c>
      <c r="B228" s="1" t="s">
        <v>9</v>
      </c>
      <c r="H228" s="1">
        <f>IF(COUNTIF($I$2:I228,I228)=1,H227+1,H227)</f>
        <v>58</v>
      </c>
      <c r="I228" s="1" t="s">
        <v>144</v>
      </c>
      <c r="K228" s="1" t="str">
        <f>IFERROR(VLOOKUP(ROWS($J$2:J228),$H$2:$I$570,2,0),"")</f>
        <v/>
      </c>
    </row>
    <row r="229" spans="1:11" x14ac:dyDescent="0.2">
      <c r="A229" s="1">
        <f>IF(COUNTIF($B$2:B229,B229)=1,A228+1,A228)</f>
        <v>11</v>
      </c>
      <c r="B229" s="1" t="s">
        <v>15</v>
      </c>
      <c r="H229" s="1">
        <f>IF(COUNTIF($I$2:I229,I229)=1,H228+1,H228)</f>
        <v>58</v>
      </c>
      <c r="I229" s="1" t="s">
        <v>144</v>
      </c>
      <c r="K229" s="1" t="str">
        <f>IFERROR(VLOOKUP(ROWS($J$2:J229),$H$2:$I$570,2,0),"")</f>
        <v/>
      </c>
    </row>
    <row r="230" spans="1:11" x14ac:dyDescent="0.2">
      <c r="A230" s="1">
        <f>IF(COUNTIF($B$2:B230,B230)=1,A229+1,A229)</f>
        <v>11</v>
      </c>
      <c r="B230" s="1" t="s">
        <v>9</v>
      </c>
      <c r="H230" s="1">
        <f>IF(COUNTIF($I$2:I230,I230)=1,H229+1,H229)</f>
        <v>59</v>
      </c>
      <c r="I230" s="1" t="s">
        <v>240</v>
      </c>
      <c r="K230" s="1" t="str">
        <f>IFERROR(VLOOKUP(ROWS($J$2:J230),$H$2:$I$570,2,0),"")</f>
        <v/>
      </c>
    </row>
    <row r="231" spans="1:11" x14ac:dyDescent="0.2">
      <c r="A231" s="1">
        <f>IF(COUNTIF($B$2:B231,B231)=1,A230+1,A230)</f>
        <v>11</v>
      </c>
      <c r="B231" s="1" t="s">
        <v>9</v>
      </c>
      <c r="H231" s="1">
        <f>IF(COUNTIF($I$2:I231,I231)=1,H230+1,H230)</f>
        <v>60</v>
      </c>
      <c r="I231" s="1" t="s">
        <v>229</v>
      </c>
      <c r="K231" s="1" t="str">
        <f>IFERROR(VLOOKUP(ROWS($J$2:J231),$H$2:$I$570,2,0),"")</f>
        <v/>
      </c>
    </row>
    <row r="232" spans="1:11" x14ac:dyDescent="0.2">
      <c r="A232" s="1">
        <f>IF(COUNTIF($B$2:B232,B232)=1,A231+1,A231)</f>
        <v>11</v>
      </c>
      <c r="B232" s="1" t="s">
        <v>8</v>
      </c>
      <c r="H232" s="1">
        <f>IF(COUNTIF($I$2:I232,I232)=1,H231+1,H231)</f>
        <v>61</v>
      </c>
      <c r="I232" s="1" t="s">
        <v>125</v>
      </c>
      <c r="K232" s="1" t="str">
        <f>IFERROR(VLOOKUP(ROWS($J$2:J232),$H$2:$I$570,2,0),"")</f>
        <v/>
      </c>
    </row>
    <row r="233" spans="1:11" x14ac:dyDescent="0.2">
      <c r="A233" s="1">
        <f>IF(COUNTIF($B$2:B233,B233)=1,A232+1,A232)</f>
        <v>11</v>
      </c>
      <c r="B233" s="1" t="s">
        <v>11</v>
      </c>
      <c r="H233" s="1">
        <f>IF(COUNTIF($I$2:I233,I233)=1,H232+1,H232)</f>
        <v>62</v>
      </c>
      <c r="I233" s="1" t="s">
        <v>143</v>
      </c>
      <c r="K233" s="1" t="str">
        <f>IFERROR(VLOOKUP(ROWS($J$2:J233),$H$2:$I$570,2,0),"")</f>
        <v/>
      </c>
    </row>
    <row r="234" spans="1:11" x14ac:dyDescent="0.2">
      <c r="A234" s="1">
        <f>IF(COUNTIF($B$2:B234,B234)=1,A233+1,A233)</f>
        <v>11</v>
      </c>
      <c r="B234" s="1" t="s">
        <v>13</v>
      </c>
      <c r="H234" s="1">
        <f>IF(COUNTIF($I$2:I234,I234)=1,H233+1,H233)</f>
        <v>63</v>
      </c>
      <c r="I234" s="1" t="s">
        <v>131</v>
      </c>
      <c r="K234" s="1" t="str">
        <f>IFERROR(VLOOKUP(ROWS($J$2:J234),$H$2:$I$570,2,0),"")</f>
        <v/>
      </c>
    </row>
    <row r="235" spans="1:11" x14ac:dyDescent="0.2">
      <c r="A235" s="1">
        <f>IF(COUNTIF($B$2:B235,B235)=1,A234+1,A234)</f>
        <v>11</v>
      </c>
      <c r="B235" s="1" t="s">
        <v>15</v>
      </c>
      <c r="H235" s="1">
        <f>IF(COUNTIF($I$2:I235,I235)=1,H234+1,H234)</f>
        <v>63</v>
      </c>
      <c r="I235" s="1" t="s">
        <v>131</v>
      </c>
      <c r="K235" s="1" t="str">
        <f>IFERROR(VLOOKUP(ROWS($J$2:J235),$H$2:$I$570,2,0),"")</f>
        <v/>
      </c>
    </row>
    <row r="236" spans="1:11" x14ac:dyDescent="0.2">
      <c r="A236" s="1">
        <f>IF(COUNTIF($B$2:B236,B236)=1,A235+1,A235)</f>
        <v>11</v>
      </c>
      <c r="B236" s="1" t="s">
        <v>9</v>
      </c>
      <c r="H236" s="1">
        <f>IF(COUNTIF($I$2:I236,I236)=1,H235+1,H235)</f>
        <v>64</v>
      </c>
      <c r="I236" s="1" t="s">
        <v>237</v>
      </c>
      <c r="K236" s="1" t="str">
        <f>IFERROR(VLOOKUP(ROWS($J$2:J236),$H$2:$I$570,2,0),"")</f>
        <v/>
      </c>
    </row>
    <row r="237" spans="1:11" x14ac:dyDescent="0.2">
      <c r="A237" s="1">
        <f>IF(COUNTIF($B$2:B237,B237)=1,A236+1,A236)</f>
        <v>11</v>
      </c>
      <c r="B237" s="1" t="s">
        <v>9</v>
      </c>
      <c r="H237" s="1">
        <f>IF(COUNTIF($I$2:I237,I237)=1,H236+1,H236)</f>
        <v>65</v>
      </c>
      <c r="I237" s="1" t="s">
        <v>241</v>
      </c>
      <c r="K237" s="1" t="str">
        <f>IFERROR(VLOOKUP(ROWS($J$2:J237),$H$2:$I$570,2,0),"")</f>
        <v/>
      </c>
    </row>
    <row r="238" spans="1:11" x14ac:dyDescent="0.2">
      <c r="A238" s="1">
        <f>IF(COUNTIF($B$2:B238,B238)=1,A237+1,A237)</f>
        <v>11</v>
      </c>
      <c r="B238" s="1" t="s">
        <v>4</v>
      </c>
      <c r="H238" s="1">
        <f>IF(COUNTIF($I$2:I238,I238)=1,H237+1,H237)</f>
        <v>66</v>
      </c>
      <c r="I238" s="1" t="s">
        <v>242</v>
      </c>
      <c r="K238" s="1" t="str">
        <f>IFERROR(VLOOKUP(ROWS($J$2:J238),$H$2:$I$570,2,0),"")</f>
        <v/>
      </c>
    </row>
    <row r="239" spans="1:11" x14ac:dyDescent="0.2">
      <c r="A239" s="1">
        <f>IF(COUNTIF($B$2:B239,B239)=1,A238+1,A238)</f>
        <v>11</v>
      </c>
      <c r="B239" s="1" t="s">
        <v>9</v>
      </c>
      <c r="H239" s="1">
        <f>IF(COUNTIF($I$2:I239,I239)=1,H238+1,H238)</f>
        <v>67</v>
      </c>
      <c r="I239" s="1" t="s">
        <v>238</v>
      </c>
      <c r="K239" s="1" t="str">
        <f>IFERROR(VLOOKUP(ROWS($J$2:J239),$H$2:$I$570,2,0),"")</f>
        <v/>
      </c>
    </row>
    <row r="240" spans="1:11" x14ac:dyDescent="0.2">
      <c r="A240" s="1">
        <f>IF(COUNTIF($B$2:B240,B240)=1,A239+1,A239)</f>
        <v>11</v>
      </c>
      <c r="B240" s="1" t="s">
        <v>13</v>
      </c>
      <c r="H240" s="1">
        <f>IF(COUNTIF($I$2:I240,I240)=1,H239+1,H239)</f>
        <v>68</v>
      </c>
      <c r="I240" s="1" t="s">
        <v>239</v>
      </c>
      <c r="K240" s="1" t="str">
        <f>IFERROR(VLOOKUP(ROWS($J$2:J240),$H$2:$I$570,2,0),"")</f>
        <v/>
      </c>
    </row>
    <row r="241" spans="1:11" x14ac:dyDescent="0.2">
      <c r="A241" s="1">
        <f>IF(COUNTIF($B$2:B241,B241)=1,A240+1,A240)</f>
        <v>11</v>
      </c>
      <c r="B241" s="1" t="s">
        <v>4</v>
      </c>
      <c r="H241" s="1">
        <f>IF(COUNTIF($I$2:I241,I241)=1,H240+1,H240)</f>
        <v>69</v>
      </c>
      <c r="I241" s="1" t="s">
        <v>217</v>
      </c>
      <c r="K241" s="1" t="str">
        <f>IFERROR(VLOOKUP(ROWS($J$2:J241),$H$2:$I$570,2,0),"")</f>
        <v/>
      </c>
    </row>
    <row r="242" spans="1:11" x14ac:dyDescent="0.2">
      <c r="A242" s="1">
        <f>IF(COUNTIF($B$2:B242,B242)=1,A241+1,A241)</f>
        <v>11</v>
      </c>
      <c r="B242" s="1" t="s">
        <v>4</v>
      </c>
      <c r="H242" s="1">
        <f>IF(COUNTIF($I$2:I242,I242)=1,H241+1,H241)</f>
        <v>70</v>
      </c>
      <c r="I242" s="1" t="s">
        <v>218</v>
      </c>
      <c r="K242" s="1" t="str">
        <f>IFERROR(VLOOKUP(ROWS($J$2:J242),$H$2:$I$570,2,0),"")</f>
        <v/>
      </c>
    </row>
    <row r="243" spans="1:11" x14ac:dyDescent="0.2">
      <c r="A243" s="1">
        <f>IF(COUNTIF($B$2:B243,B243)=1,A242+1,A242)</f>
        <v>11</v>
      </c>
      <c r="B243" s="1" t="s">
        <v>8</v>
      </c>
      <c r="H243" s="1">
        <f>IF(COUNTIF($I$2:I243,I243)=1,H242+1,H242)</f>
        <v>70</v>
      </c>
      <c r="I243" s="1" t="s">
        <v>218</v>
      </c>
      <c r="K243" s="1" t="str">
        <f>IFERROR(VLOOKUP(ROWS($J$2:J243),$H$2:$I$570,2,0),"")</f>
        <v/>
      </c>
    </row>
    <row r="244" spans="1:11" x14ac:dyDescent="0.2">
      <c r="A244" s="1">
        <f>IF(COUNTIF($B$2:B244,B244)=1,A243+1,A243)</f>
        <v>11</v>
      </c>
      <c r="B244" s="1" t="s">
        <v>8</v>
      </c>
      <c r="H244" s="1">
        <f>IF(COUNTIF($I$2:I244,I244)=1,H243+1,H243)</f>
        <v>71</v>
      </c>
      <c r="I244" s="1" t="s">
        <v>148</v>
      </c>
      <c r="K244" s="1" t="str">
        <f>IFERROR(VLOOKUP(ROWS($J$2:J244),$H$2:$I$570,2,0),"")</f>
        <v/>
      </c>
    </row>
    <row r="245" spans="1:11" x14ac:dyDescent="0.2">
      <c r="A245" s="1">
        <f>IF(COUNTIF($B$2:B245,B245)=1,A244+1,A244)</f>
        <v>11</v>
      </c>
      <c r="B245" s="1" t="s">
        <v>13</v>
      </c>
      <c r="H245" s="1">
        <f>IF(COUNTIF($I$2:I245,I245)=1,H244+1,H244)</f>
        <v>71</v>
      </c>
      <c r="I245" s="1" t="s">
        <v>148</v>
      </c>
      <c r="K245" s="1" t="str">
        <f>IFERROR(VLOOKUP(ROWS($J$2:J245),$H$2:$I$570,2,0),"")</f>
        <v/>
      </c>
    </row>
    <row r="246" spans="1:11" x14ac:dyDescent="0.2">
      <c r="A246" s="1">
        <f>IF(COUNTIF($B$2:B246,B246)=1,A245+1,A245)</f>
        <v>11</v>
      </c>
      <c r="B246" s="1" t="s">
        <v>8</v>
      </c>
      <c r="H246" s="1">
        <f>IF(COUNTIF($I$2:I246,I246)=1,H245+1,H245)</f>
        <v>72</v>
      </c>
      <c r="I246" s="1" t="s">
        <v>223</v>
      </c>
      <c r="K246" s="1" t="str">
        <f>IFERROR(VLOOKUP(ROWS($J$2:J246),$H$2:$I$570,2,0),"")</f>
        <v/>
      </c>
    </row>
    <row r="247" spans="1:11" x14ac:dyDescent="0.2">
      <c r="A247" s="1">
        <f>IF(COUNTIF($B$2:B247,B247)=1,A246+1,A246)</f>
        <v>11</v>
      </c>
      <c r="B247" s="1" t="s">
        <v>9</v>
      </c>
      <c r="H247" s="1">
        <f>IF(COUNTIF($I$2:I247,I247)=1,H246+1,H246)</f>
        <v>73</v>
      </c>
      <c r="I247" s="1" t="s">
        <v>157</v>
      </c>
      <c r="K247" s="1" t="str">
        <f>IFERROR(VLOOKUP(ROWS($J$2:J247),$H$2:$I$570,2,0),"")</f>
        <v/>
      </c>
    </row>
    <row r="248" spans="1:11" x14ac:dyDescent="0.2">
      <c r="A248" s="1">
        <f>IF(COUNTIF($B$2:B248,B248)=1,A247+1,A247)</f>
        <v>11</v>
      </c>
      <c r="B248" s="1" t="s">
        <v>8</v>
      </c>
      <c r="H248" s="1">
        <f>IF(COUNTIF($I$2:I248,I248)=1,H247+1,H247)</f>
        <v>74</v>
      </c>
      <c r="I248" s="1" t="s">
        <v>188</v>
      </c>
      <c r="K248" s="1" t="str">
        <f>IFERROR(VLOOKUP(ROWS($J$2:J248),$H$2:$I$570,2,0),"")</f>
        <v/>
      </c>
    </row>
    <row r="249" spans="1:11" x14ac:dyDescent="0.2">
      <c r="A249" s="1">
        <f>IF(COUNTIF($B$2:B249,B249)=1,A248+1,A248)</f>
        <v>11</v>
      </c>
      <c r="B249" s="1" t="s">
        <v>8</v>
      </c>
      <c r="H249" s="1">
        <f>IF(COUNTIF($I$2:I249,I249)=1,H248+1,H248)</f>
        <v>75</v>
      </c>
      <c r="I249" s="1" t="s">
        <v>192</v>
      </c>
      <c r="K249" s="1" t="str">
        <f>IFERROR(VLOOKUP(ROWS($J$2:J249),$H$2:$I$570,2,0),"")</f>
        <v/>
      </c>
    </row>
    <row r="250" spans="1:11" x14ac:dyDescent="0.2">
      <c r="A250" s="1">
        <f>IF(COUNTIF($B$2:B250,B250)=1,A249+1,A249)</f>
        <v>11</v>
      </c>
      <c r="B250" s="1" t="s">
        <v>8</v>
      </c>
      <c r="H250" s="1">
        <f>IF(COUNTIF($I$2:I250,I250)=1,H249+1,H249)</f>
        <v>76</v>
      </c>
      <c r="I250" s="1" t="s">
        <v>116</v>
      </c>
      <c r="K250" s="1" t="str">
        <f>IFERROR(VLOOKUP(ROWS($J$2:J250),$H$2:$I$570,2,0),"")</f>
        <v/>
      </c>
    </row>
    <row r="251" spans="1:11" x14ac:dyDescent="0.2">
      <c r="A251" s="1">
        <f>IF(COUNTIF($B$2:B251,B251)=1,A250+1,A250)</f>
        <v>11</v>
      </c>
      <c r="B251" s="1" t="s">
        <v>8</v>
      </c>
      <c r="H251" s="1">
        <f>IF(COUNTIF($I$2:I251,I251)=1,H250+1,H250)</f>
        <v>76</v>
      </c>
      <c r="I251" s="1" t="s">
        <v>116</v>
      </c>
      <c r="K251" s="1" t="str">
        <f>IFERROR(VLOOKUP(ROWS($J$2:J251),$H$2:$I$570,2,0),"")</f>
        <v/>
      </c>
    </row>
    <row r="252" spans="1:11" x14ac:dyDescent="0.2">
      <c r="A252" s="1">
        <f>IF(COUNTIF($B$2:B252,B252)=1,A251+1,A251)</f>
        <v>11</v>
      </c>
      <c r="B252" s="1" t="s">
        <v>8</v>
      </c>
      <c r="H252" s="1">
        <f>IF(COUNTIF($I$2:I252,I252)=1,H251+1,H251)</f>
        <v>77</v>
      </c>
      <c r="I252" s="1" t="s">
        <v>203</v>
      </c>
      <c r="K252" s="1" t="str">
        <f>IFERROR(VLOOKUP(ROWS($J$2:J252),$H$2:$I$570,2,0),"")</f>
        <v/>
      </c>
    </row>
    <row r="253" spans="1:11" x14ac:dyDescent="0.2">
      <c r="A253" s="1">
        <f>IF(COUNTIF($B$2:B253,B253)=1,A252+1,A252)</f>
        <v>11</v>
      </c>
      <c r="B253" s="1" t="s">
        <v>9</v>
      </c>
      <c r="H253" s="1">
        <f>IF(COUNTIF($I$2:I253,I253)=1,H252+1,H252)</f>
        <v>78</v>
      </c>
      <c r="I253" s="1" t="s">
        <v>115</v>
      </c>
      <c r="K253" s="1" t="str">
        <f>IFERROR(VLOOKUP(ROWS($J$2:J253),$H$2:$I$570,2,0),"")</f>
        <v/>
      </c>
    </row>
    <row r="254" spans="1:11" x14ac:dyDescent="0.2">
      <c r="A254" s="1">
        <f>IF(COUNTIF($B$2:B254,B254)=1,A253+1,A253)</f>
        <v>11</v>
      </c>
      <c r="B254" s="1" t="s">
        <v>5</v>
      </c>
      <c r="H254" s="1">
        <f>IF(COUNTIF($I$2:I254,I254)=1,H253+1,H253)</f>
        <v>78</v>
      </c>
      <c r="I254" s="1" t="s">
        <v>115</v>
      </c>
      <c r="K254" s="1" t="str">
        <f>IFERROR(VLOOKUP(ROWS($J$2:J254),$H$2:$I$570,2,0),"")</f>
        <v/>
      </c>
    </row>
    <row r="255" spans="1:11" x14ac:dyDescent="0.2">
      <c r="A255" s="1">
        <f>IF(COUNTIF($B$2:B255,B255)=1,A254+1,A254)</f>
        <v>11</v>
      </c>
      <c r="B255" s="1" t="s">
        <v>8</v>
      </c>
      <c r="H255" s="1">
        <f>IF(COUNTIF($I$2:I255,I255)=1,H254+1,H254)</f>
        <v>78</v>
      </c>
      <c r="I255" s="1" t="s">
        <v>115</v>
      </c>
      <c r="K255" s="1" t="str">
        <f>IFERROR(VLOOKUP(ROWS($J$2:J255),$H$2:$I$570,2,0),"")</f>
        <v/>
      </c>
    </row>
    <row r="256" spans="1:11" x14ac:dyDescent="0.2">
      <c r="A256" s="1">
        <f>IF(COUNTIF($B$2:B256,B256)=1,A255+1,A255)</f>
        <v>11</v>
      </c>
      <c r="B256" s="1" t="s">
        <v>9</v>
      </c>
      <c r="H256" s="1">
        <f>IF(COUNTIF($I$2:I256,I256)=1,H255+1,H255)</f>
        <v>79</v>
      </c>
      <c r="I256" s="1" t="s">
        <v>214</v>
      </c>
      <c r="K256" s="1" t="str">
        <f>IFERROR(VLOOKUP(ROWS($J$2:J256),$H$2:$I$570,2,0),"")</f>
        <v/>
      </c>
    </row>
    <row r="257" spans="1:11" x14ac:dyDescent="0.2">
      <c r="A257" s="1">
        <f>IF(COUNTIF($B$2:B257,B257)=1,A256+1,A256)</f>
        <v>11</v>
      </c>
      <c r="B257" s="1" t="s">
        <v>8</v>
      </c>
      <c r="H257" s="1">
        <f>IF(COUNTIF($I$2:I257,I257)=1,H256+1,H256)</f>
        <v>80</v>
      </c>
      <c r="I257" s="1" t="s">
        <v>138</v>
      </c>
      <c r="K257" s="1" t="str">
        <f>IFERROR(VLOOKUP(ROWS($J$2:J257),$H$2:$I$570,2,0),"")</f>
        <v/>
      </c>
    </row>
    <row r="258" spans="1:11" x14ac:dyDescent="0.2">
      <c r="A258" s="1">
        <f>IF(COUNTIF($B$2:B258,B258)=1,A257+1,A257)</f>
        <v>11</v>
      </c>
      <c r="B258" s="1" t="s">
        <v>9</v>
      </c>
      <c r="H258" s="1">
        <f>IF(COUNTIF($I$2:I258,I258)=1,H257+1,H257)</f>
        <v>80</v>
      </c>
      <c r="I258" s="1" t="s">
        <v>138</v>
      </c>
      <c r="K258" s="1" t="str">
        <f>IFERROR(VLOOKUP(ROWS($J$2:J258),$H$2:$I$570,2,0),"")</f>
        <v/>
      </c>
    </row>
    <row r="259" spans="1:11" x14ac:dyDescent="0.2">
      <c r="A259" s="1">
        <f>IF(COUNTIF($B$2:B259,B259)=1,A258+1,A258)</f>
        <v>11</v>
      </c>
      <c r="B259" s="1" t="s">
        <v>9</v>
      </c>
      <c r="H259" s="1">
        <f>IF(COUNTIF($I$2:I259,I259)=1,H258+1,H258)</f>
        <v>81</v>
      </c>
      <c r="I259" s="1" t="s">
        <v>149</v>
      </c>
      <c r="K259" s="1" t="str">
        <f>IFERROR(VLOOKUP(ROWS($J$2:J259),$H$2:$I$570,2,0),"")</f>
        <v/>
      </c>
    </row>
    <row r="260" spans="1:11" x14ac:dyDescent="0.2">
      <c r="A260" s="1">
        <f>IF(COUNTIF($B$2:B260,B260)=1,A259+1,A259)</f>
        <v>11</v>
      </c>
      <c r="B260" s="1" t="s">
        <v>8</v>
      </c>
      <c r="H260" s="1">
        <f>IF(COUNTIF($I$2:I260,I260)=1,H259+1,H259)</f>
        <v>82</v>
      </c>
      <c r="I260" s="1" t="s">
        <v>91</v>
      </c>
      <c r="K260" s="1" t="str">
        <f>IFERROR(VLOOKUP(ROWS($J$2:J260),$H$2:$I$570,2,0),"")</f>
        <v/>
      </c>
    </row>
    <row r="261" spans="1:11" x14ac:dyDescent="0.2">
      <c r="A261" s="1">
        <f>IF(COUNTIF($B$2:B261,B261)=1,A260+1,A260)</f>
        <v>11</v>
      </c>
      <c r="B261" s="1" t="s">
        <v>11</v>
      </c>
      <c r="H261" s="1">
        <f>IF(COUNTIF($I$2:I261,I261)=1,H260+1,H260)</f>
        <v>82</v>
      </c>
      <c r="I261" s="1" t="s">
        <v>91</v>
      </c>
      <c r="K261" s="1" t="str">
        <f>IFERROR(VLOOKUP(ROWS($J$2:J261),$H$2:$I$570,2,0),"")</f>
        <v/>
      </c>
    </row>
    <row r="262" spans="1:11" x14ac:dyDescent="0.2">
      <c r="A262" s="1">
        <f>IF(COUNTIF($B$2:B262,B262)=1,A261+1,A261)</f>
        <v>11</v>
      </c>
      <c r="B262" s="1" t="s">
        <v>9</v>
      </c>
      <c r="H262" s="1">
        <f>IF(COUNTIF($I$2:I262,I262)=1,H261+1,H261)</f>
        <v>83</v>
      </c>
      <c r="I262" s="1" t="s">
        <v>86</v>
      </c>
      <c r="K262" s="1" t="str">
        <f>IFERROR(VLOOKUP(ROWS($J$2:J262),$H$2:$I$570,2,0),"")</f>
        <v/>
      </c>
    </row>
    <row r="263" spans="1:11" x14ac:dyDescent="0.2">
      <c r="A263" s="1">
        <f>IF(COUNTIF($B$2:B263,B263)=1,A262+1,A262)</f>
        <v>11</v>
      </c>
      <c r="B263" s="1" t="s">
        <v>11</v>
      </c>
      <c r="H263" s="1">
        <f>IF(COUNTIF($I$2:I263,I263)=1,H262+1,H262)</f>
        <v>83</v>
      </c>
      <c r="I263" s="1" t="s">
        <v>86</v>
      </c>
      <c r="K263" s="1" t="str">
        <f>IFERROR(VLOOKUP(ROWS($J$2:J263),$H$2:$I$570,2,0),"")</f>
        <v/>
      </c>
    </row>
    <row r="264" spans="1:11" x14ac:dyDescent="0.2">
      <c r="A264" s="1">
        <f>IF(COUNTIF($B$2:B264,B264)=1,A263+1,A263)</f>
        <v>11</v>
      </c>
      <c r="B264" s="1" t="s">
        <v>9</v>
      </c>
      <c r="H264" s="1">
        <f>IF(COUNTIF($I$2:I264,I264)=1,H263+1,H263)</f>
        <v>83</v>
      </c>
      <c r="I264" s="1" t="s">
        <v>86</v>
      </c>
      <c r="K264" s="1" t="str">
        <f>IFERROR(VLOOKUP(ROWS($J$2:J264),$H$2:$I$570,2,0),"")</f>
        <v/>
      </c>
    </row>
    <row r="265" spans="1:11" x14ac:dyDescent="0.2">
      <c r="A265" s="1">
        <f>IF(COUNTIF($B$2:B265,B265)=1,A264+1,A264)</f>
        <v>11</v>
      </c>
      <c r="B265" s="1" t="s">
        <v>8</v>
      </c>
      <c r="H265" s="1">
        <f>IF(COUNTIF($I$2:I265,I265)=1,H264+1,H264)</f>
        <v>84</v>
      </c>
      <c r="I265" s="1" t="s">
        <v>155</v>
      </c>
      <c r="K265" s="1" t="str">
        <f>IFERROR(VLOOKUP(ROWS($J$2:J265),$H$2:$I$570,2,0),"")</f>
        <v/>
      </c>
    </row>
    <row r="266" spans="1:11" x14ac:dyDescent="0.2">
      <c r="A266" s="1">
        <f>IF(COUNTIF($B$2:B266,B266)=1,A265+1,A265)</f>
        <v>11</v>
      </c>
      <c r="B266" s="1" t="s">
        <v>4</v>
      </c>
      <c r="H266" s="1">
        <f>IF(COUNTIF($I$2:I266,I266)=1,H265+1,H265)</f>
        <v>84</v>
      </c>
      <c r="I266" s="1" t="s">
        <v>155</v>
      </c>
      <c r="K266" s="1" t="str">
        <f>IFERROR(VLOOKUP(ROWS($J$2:J266),$H$2:$I$570,2,0),"")</f>
        <v/>
      </c>
    </row>
    <row r="267" spans="1:11" x14ac:dyDescent="0.2">
      <c r="A267" s="1">
        <f>IF(COUNTIF($B$2:B267,B267)=1,A266+1,A266)</f>
        <v>11</v>
      </c>
      <c r="B267" s="1" t="s">
        <v>4</v>
      </c>
      <c r="H267" s="1">
        <f>IF(COUNTIF($I$2:I267,I267)=1,H266+1,H266)</f>
        <v>85</v>
      </c>
      <c r="I267" s="1" t="s">
        <v>141</v>
      </c>
      <c r="K267" s="1" t="str">
        <f>IFERROR(VLOOKUP(ROWS($J$2:J267),$H$2:$I$570,2,0),"")</f>
        <v/>
      </c>
    </row>
    <row r="268" spans="1:11" x14ac:dyDescent="0.2">
      <c r="A268" s="1">
        <f>IF(COUNTIF($B$2:B268,B268)=1,A267+1,A267)</f>
        <v>11</v>
      </c>
      <c r="B268" s="1" t="s">
        <v>4</v>
      </c>
      <c r="H268" s="1">
        <f>IF(COUNTIF($I$2:I268,I268)=1,H267+1,H267)</f>
        <v>85</v>
      </c>
      <c r="I268" s="1" t="s">
        <v>141</v>
      </c>
      <c r="K268" s="1" t="str">
        <f>IFERROR(VLOOKUP(ROWS($J$2:J268),$H$2:$I$570,2,0),"")</f>
        <v/>
      </c>
    </row>
    <row r="269" spans="1:11" x14ac:dyDescent="0.2">
      <c r="A269" s="1">
        <f>IF(COUNTIF($B$2:B269,B269)=1,A268+1,A268)</f>
        <v>11</v>
      </c>
      <c r="B269" s="1" t="s">
        <v>9</v>
      </c>
      <c r="H269" s="1">
        <f>IF(COUNTIF($I$2:I269,I269)=1,H268+1,H268)</f>
        <v>86</v>
      </c>
      <c r="I269" s="1" t="s">
        <v>208</v>
      </c>
      <c r="K269" s="1" t="str">
        <f>IFERROR(VLOOKUP(ROWS($J$2:J269),$H$2:$I$570,2,0),"")</f>
        <v/>
      </c>
    </row>
    <row r="270" spans="1:11" x14ac:dyDescent="0.2">
      <c r="A270" s="1">
        <f>IF(COUNTIF($B$2:B270,B270)=1,A269+1,A269)</f>
        <v>11</v>
      </c>
      <c r="B270" s="1" t="s">
        <v>11</v>
      </c>
      <c r="H270" s="1">
        <f>IF(COUNTIF($I$2:I270,I270)=1,H269+1,H269)</f>
        <v>87</v>
      </c>
      <c r="I270" s="1" t="s">
        <v>200</v>
      </c>
      <c r="K270" s="1" t="str">
        <f>IFERROR(VLOOKUP(ROWS($J$2:J270),$H$2:$I$570,2,0),"")</f>
        <v/>
      </c>
    </row>
    <row r="271" spans="1:11" x14ac:dyDescent="0.2">
      <c r="A271" s="1">
        <f>IF(COUNTIF($B$2:B271,B271)=1,A270+1,A270)</f>
        <v>11</v>
      </c>
      <c r="B271" s="1" t="s">
        <v>5</v>
      </c>
      <c r="H271" s="1">
        <f>IF(COUNTIF($I$2:I271,I271)=1,H270+1,H270)</f>
        <v>88</v>
      </c>
      <c r="I271" s="1" t="s">
        <v>207</v>
      </c>
      <c r="K271" s="1" t="str">
        <f>IFERROR(VLOOKUP(ROWS($J$2:J271),$H$2:$I$570,2,0),"")</f>
        <v/>
      </c>
    </row>
    <row r="272" spans="1:11" x14ac:dyDescent="0.2">
      <c r="A272" s="1">
        <f>IF(COUNTIF($B$2:B272,B272)=1,A271+1,A271)</f>
        <v>11</v>
      </c>
      <c r="B272" s="1" t="s">
        <v>5</v>
      </c>
      <c r="H272" s="1">
        <f>IF(COUNTIF($I$2:I272,I272)=1,H271+1,H271)</f>
        <v>89</v>
      </c>
      <c r="I272" s="1" t="s">
        <v>181</v>
      </c>
      <c r="K272" s="1" t="str">
        <f>IFERROR(VLOOKUP(ROWS($J$2:J272),$H$2:$I$570,2,0),"")</f>
        <v/>
      </c>
    </row>
    <row r="273" spans="1:11" x14ac:dyDescent="0.2">
      <c r="A273" s="1">
        <f>IF(COUNTIF($B$2:B273,B273)=1,A272+1,A272)</f>
        <v>11</v>
      </c>
      <c r="B273" s="1" t="s">
        <v>9</v>
      </c>
      <c r="H273" s="1">
        <f>IF(COUNTIF($I$2:I273,I273)=1,H272+1,H272)</f>
        <v>90</v>
      </c>
      <c r="I273" s="1" t="s">
        <v>243</v>
      </c>
      <c r="K273" s="1" t="str">
        <f>IFERROR(VLOOKUP(ROWS($J$2:J273),$H$2:$I$570,2,0),"")</f>
        <v/>
      </c>
    </row>
    <row r="274" spans="1:11" x14ac:dyDescent="0.2">
      <c r="A274" s="1">
        <f>IF(COUNTIF($B$2:B274,B274)=1,A273+1,A273)</f>
        <v>11</v>
      </c>
      <c r="B274" s="1" t="s">
        <v>11</v>
      </c>
      <c r="H274" s="1">
        <f>IF(COUNTIF($I$2:I274,I274)=1,H273+1,H273)</f>
        <v>91</v>
      </c>
      <c r="I274" s="1" t="s">
        <v>174</v>
      </c>
      <c r="K274" s="1" t="str">
        <f>IFERROR(VLOOKUP(ROWS($J$2:J274),$H$2:$I$570,2,0),"")</f>
        <v/>
      </c>
    </row>
    <row r="275" spans="1:11" x14ac:dyDescent="0.2">
      <c r="A275" s="1">
        <f>IF(COUNTIF($B$2:B275,B275)=1,A274+1,A274)</f>
        <v>11</v>
      </c>
      <c r="B275" s="1" t="s">
        <v>11</v>
      </c>
      <c r="H275" s="1">
        <f>IF(COUNTIF($I$2:I275,I275)=1,H274+1,H274)</f>
        <v>92</v>
      </c>
      <c r="I275" s="1" t="s">
        <v>186</v>
      </c>
      <c r="K275" s="1" t="str">
        <f>IFERROR(VLOOKUP(ROWS($J$2:J275),$H$2:$I$570,2,0),"")</f>
        <v/>
      </c>
    </row>
    <row r="276" spans="1:11" x14ac:dyDescent="0.2">
      <c r="A276" s="1">
        <f>IF(COUNTIF($B$2:B276,B276)=1,A275+1,A275)</f>
        <v>11</v>
      </c>
      <c r="B276" s="1" t="s">
        <v>11</v>
      </c>
      <c r="H276" s="1">
        <f>IF(COUNTIF($I$2:I276,I276)=1,H275+1,H275)</f>
        <v>93</v>
      </c>
      <c r="I276" s="1" t="s">
        <v>124</v>
      </c>
      <c r="K276" s="1" t="str">
        <f>IFERROR(VLOOKUP(ROWS($J$2:J276),$H$2:$I$570,2,0),"")</f>
        <v/>
      </c>
    </row>
    <row r="277" spans="1:11" x14ac:dyDescent="0.2">
      <c r="A277" s="1">
        <f>IF(COUNTIF($B$2:B277,B277)=1,A276+1,A276)</f>
        <v>11</v>
      </c>
      <c r="B277" s="1" t="s">
        <v>11</v>
      </c>
      <c r="H277" s="1">
        <f>IF(COUNTIF($I$2:I277,I277)=1,H276+1,H276)</f>
        <v>93</v>
      </c>
      <c r="I277" s="1" t="s">
        <v>124</v>
      </c>
      <c r="K277" s="1" t="str">
        <f>IFERROR(VLOOKUP(ROWS($J$2:J277),$H$2:$I$570,2,0),"")</f>
        <v/>
      </c>
    </row>
    <row r="278" spans="1:11" x14ac:dyDescent="0.2">
      <c r="A278" s="1">
        <f>IF(COUNTIF($B$2:B278,B278)=1,A277+1,A277)</f>
        <v>11</v>
      </c>
      <c r="B278" s="1" t="s">
        <v>8</v>
      </c>
      <c r="H278" s="1">
        <f>IF(COUNTIF($I$2:I278,I278)=1,H277+1,H277)</f>
        <v>94</v>
      </c>
      <c r="I278" s="1" t="s">
        <v>85</v>
      </c>
      <c r="K278" s="1" t="str">
        <f>IFERROR(VLOOKUP(ROWS($J$2:J278),$H$2:$I$570,2,0),"")</f>
        <v/>
      </c>
    </row>
    <row r="279" spans="1:11" x14ac:dyDescent="0.2">
      <c r="A279" s="1">
        <f>IF(COUNTIF($B$2:B279,B279)=1,A278+1,A278)</f>
        <v>11</v>
      </c>
      <c r="B279" s="1" t="s">
        <v>11</v>
      </c>
      <c r="H279" s="1">
        <f>IF(COUNTIF($I$2:I279,I279)=1,H278+1,H278)</f>
        <v>94</v>
      </c>
      <c r="I279" s="1" t="s">
        <v>85</v>
      </c>
      <c r="K279" s="1" t="str">
        <f>IFERROR(VLOOKUP(ROWS($J$2:J279),$H$2:$I$570,2,0),"")</f>
        <v/>
      </c>
    </row>
    <row r="280" spans="1:11" x14ac:dyDescent="0.2">
      <c r="A280" s="1">
        <f>IF(COUNTIF($B$2:B280,B280)=1,A279+1,A279)</f>
        <v>11</v>
      </c>
      <c r="B280" s="1" t="s">
        <v>9</v>
      </c>
      <c r="H280" s="1">
        <f>IF(COUNTIF($I$2:I280,I280)=1,H279+1,H279)</f>
        <v>95</v>
      </c>
      <c r="I280" s="1" t="s">
        <v>146</v>
      </c>
      <c r="K280" s="1" t="str">
        <f>IFERROR(VLOOKUP(ROWS($J$2:J280),$H$2:$I$570,2,0),"")</f>
        <v/>
      </c>
    </row>
    <row r="281" spans="1:11" x14ac:dyDescent="0.2">
      <c r="A281" s="1">
        <f>IF(COUNTIF($B$2:B281,B281)=1,A280+1,A280)</f>
        <v>11</v>
      </c>
      <c r="B281" s="1" t="s">
        <v>4</v>
      </c>
      <c r="H281" s="1">
        <f>IF(COUNTIF($I$2:I281,I281)=1,H280+1,H280)</f>
        <v>95</v>
      </c>
      <c r="I281" s="1" t="s">
        <v>146</v>
      </c>
      <c r="K281" s="1" t="str">
        <f>IFERROR(VLOOKUP(ROWS($J$2:J281),$H$2:$I$570,2,0),"")</f>
        <v/>
      </c>
    </row>
    <row r="282" spans="1:11" x14ac:dyDescent="0.2">
      <c r="A282" s="1">
        <f>IF(COUNTIF($B$2:B282,B282)=1,A281+1,A281)</f>
        <v>12</v>
      </c>
      <c r="B282" s="1" t="s">
        <v>17</v>
      </c>
      <c r="H282" s="1">
        <f>IF(COUNTIF($I$2:I282,I282)=1,H281+1,H281)</f>
        <v>96</v>
      </c>
      <c r="I282" s="1" t="s">
        <v>233</v>
      </c>
      <c r="K282" s="1" t="str">
        <f>IFERROR(VLOOKUP(ROWS($J$2:J282),$H$2:$I$570,2,0),"")</f>
        <v/>
      </c>
    </row>
    <row r="283" spans="1:11" x14ac:dyDescent="0.2">
      <c r="A283" s="1">
        <f>IF(COUNTIF($B$2:B283,B283)=1,A282+1,A282)</f>
        <v>12</v>
      </c>
      <c r="B283" s="1" t="s">
        <v>8</v>
      </c>
      <c r="H283" s="1">
        <f>IF(COUNTIF($I$2:I283,I283)=1,H282+1,H282)</f>
        <v>97</v>
      </c>
      <c r="I283" s="1" t="s">
        <v>118</v>
      </c>
      <c r="K283" s="1" t="str">
        <f>IFERROR(VLOOKUP(ROWS($J$2:J283),$H$2:$I$570,2,0),"")</f>
        <v/>
      </c>
    </row>
    <row r="284" spans="1:11" x14ac:dyDescent="0.2">
      <c r="A284" s="1">
        <f>IF(COUNTIF($B$2:B284,B284)=1,A283+1,A283)</f>
        <v>12</v>
      </c>
      <c r="B284" s="1" t="s">
        <v>8</v>
      </c>
      <c r="H284" s="1">
        <f>IF(COUNTIF($I$2:I284,I284)=1,H283+1,H283)</f>
        <v>97</v>
      </c>
      <c r="I284" s="1" t="s">
        <v>118</v>
      </c>
      <c r="K284" s="1" t="str">
        <f>IFERROR(VLOOKUP(ROWS($J$2:J284),$H$2:$I$570,2,0),"")</f>
        <v/>
      </c>
    </row>
    <row r="285" spans="1:11" x14ac:dyDescent="0.2">
      <c r="A285" s="1">
        <f>IF(COUNTIF($B$2:B285,B285)=1,A284+1,A284)</f>
        <v>12</v>
      </c>
      <c r="B285" s="1" t="s">
        <v>8</v>
      </c>
      <c r="H285" s="1">
        <f>IF(COUNTIF($I$2:I285,I285)=1,H284+1,H284)</f>
        <v>98</v>
      </c>
      <c r="I285" s="1" t="s">
        <v>52</v>
      </c>
      <c r="K285" s="1" t="str">
        <f>IFERROR(VLOOKUP(ROWS($J$2:J285),$H$2:$I$570,2,0),"")</f>
        <v/>
      </c>
    </row>
    <row r="286" spans="1:11" x14ac:dyDescent="0.2">
      <c r="A286" s="1">
        <f>IF(COUNTIF($B$2:B286,B286)=1,A285+1,A285)</f>
        <v>12</v>
      </c>
      <c r="B286" s="1" t="s">
        <v>11</v>
      </c>
      <c r="H286" s="1">
        <f>IF(COUNTIF($I$2:I286,I286)=1,H285+1,H285)</f>
        <v>98</v>
      </c>
      <c r="I286" s="1" t="s">
        <v>52</v>
      </c>
      <c r="K286" s="1" t="str">
        <f>IFERROR(VLOOKUP(ROWS($J$2:J286),$H$2:$I$570,2,0),"")</f>
        <v/>
      </c>
    </row>
    <row r="287" spans="1:11" x14ac:dyDescent="0.2">
      <c r="A287" s="1">
        <f>IF(COUNTIF($B$2:B287,B287)=1,A286+1,A286)</f>
        <v>12</v>
      </c>
      <c r="B287" s="1" t="s">
        <v>8</v>
      </c>
      <c r="H287" s="1">
        <f>IF(COUNTIF($I$2:I287,I287)=1,H286+1,H286)</f>
        <v>98</v>
      </c>
      <c r="I287" s="1" t="s">
        <v>52</v>
      </c>
      <c r="K287" s="1" t="str">
        <f>IFERROR(VLOOKUP(ROWS($J$2:J287),$H$2:$I$570,2,0),"")</f>
        <v/>
      </c>
    </row>
    <row r="288" spans="1:11" x14ac:dyDescent="0.2">
      <c r="A288" s="1">
        <f>IF(COUNTIF($B$2:B288,B288)=1,A287+1,A287)</f>
        <v>12</v>
      </c>
      <c r="B288" s="1" t="s">
        <v>8</v>
      </c>
      <c r="H288" s="1">
        <f>IF(COUNTIF($I$2:I288,I288)=1,H287+1,H287)</f>
        <v>99</v>
      </c>
      <c r="I288" s="1" t="s">
        <v>77</v>
      </c>
      <c r="K288" s="1" t="str">
        <f>IFERROR(VLOOKUP(ROWS($J$2:J288),$H$2:$I$570,2,0),"")</f>
        <v/>
      </c>
    </row>
    <row r="289" spans="1:11" x14ac:dyDescent="0.2">
      <c r="A289" s="1">
        <f>IF(COUNTIF($B$2:B289,B289)=1,A288+1,A288)</f>
        <v>12</v>
      </c>
      <c r="B289" s="1" t="s">
        <v>5</v>
      </c>
      <c r="H289" s="1">
        <f>IF(COUNTIF($I$2:I289,I289)=1,H288+1,H288)</f>
        <v>100</v>
      </c>
      <c r="I289" s="1" t="s">
        <v>78</v>
      </c>
      <c r="K289" s="1" t="str">
        <f>IFERROR(VLOOKUP(ROWS($J$2:J289),$H$2:$I$570,2,0),"")</f>
        <v/>
      </c>
    </row>
    <row r="290" spans="1:11" x14ac:dyDescent="0.2">
      <c r="A290" s="1">
        <f>IF(COUNTIF($B$2:B290,B290)=1,A289+1,A289)</f>
        <v>12</v>
      </c>
      <c r="B290" s="1" t="s">
        <v>14</v>
      </c>
      <c r="H290" s="1">
        <f>IF(COUNTIF($I$2:I290,I290)=1,H289+1,H289)</f>
        <v>100</v>
      </c>
      <c r="I290" s="1" t="s">
        <v>78</v>
      </c>
      <c r="K290" s="1" t="str">
        <f>IFERROR(VLOOKUP(ROWS($J$2:J290),$H$2:$I$570,2,0),"")</f>
        <v/>
      </c>
    </row>
    <row r="291" spans="1:11" x14ac:dyDescent="0.2">
      <c r="A291" s="1">
        <f>IF(COUNTIF($B$2:B291,B291)=1,A290+1,A290)</f>
        <v>12</v>
      </c>
      <c r="B291" s="1" t="s">
        <v>11</v>
      </c>
      <c r="H291" s="1">
        <f>IF(COUNTIF($I$2:I291,I291)=1,H290+1,H290)</f>
        <v>100</v>
      </c>
      <c r="I291" s="1" t="s">
        <v>78</v>
      </c>
      <c r="K291" s="1" t="str">
        <f>IFERROR(VLOOKUP(ROWS($J$2:J291),$H$2:$I$570,2,0),"")</f>
        <v/>
      </c>
    </row>
    <row r="292" spans="1:11" x14ac:dyDescent="0.2">
      <c r="A292" s="1">
        <f>IF(COUNTIF($B$2:B292,B292)=1,A291+1,A291)</f>
        <v>12</v>
      </c>
      <c r="B292" s="1" t="s">
        <v>11</v>
      </c>
      <c r="H292" s="1">
        <f>IF(COUNTIF($I$2:I292,I292)=1,H291+1,H291)</f>
        <v>101</v>
      </c>
      <c r="I292" s="1" t="s">
        <v>109</v>
      </c>
      <c r="K292" s="1" t="str">
        <f>IFERROR(VLOOKUP(ROWS($J$2:J292),$H$2:$I$570,2,0),"")</f>
        <v/>
      </c>
    </row>
    <row r="293" spans="1:11" x14ac:dyDescent="0.2">
      <c r="A293" s="1">
        <f>IF(COUNTIF($B$2:B293,B293)=1,A292+1,A292)</f>
        <v>12</v>
      </c>
      <c r="B293" s="1" t="s">
        <v>11</v>
      </c>
      <c r="H293" s="1">
        <f>IF(COUNTIF($I$2:I293,I293)=1,H292+1,H292)</f>
        <v>101</v>
      </c>
      <c r="I293" s="1" t="s">
        <v>109</v>
      </c>
      <c r="K293" s="1" t="str">
        <f>IFERROR(VLOOKUP(ROWS($J$2:J293),$H$2:$I$570,2,0),"")</f>
        <v/>
      </c>
    </row>
    <row r="294" spans="1:11" x14ac:dyDescent="0.2">
      <c r="A294" s="1">
        <f>IF(COUNTIF($B$2:B294,B294)=1,A293+1,A293)</f>
        <v>12</v>
      </c>
      <c r="B294" s="1" t="s">
        <v>11</v>
      </c>
      <c r="H294" s="1">
        <f>IF(COUNTIF($I$2:I294,I294)=1,H293+1,H293)</f>
        <v>102</v>
      </c>
      <c r="I294" s="1" t="s">
        <v>135</v>
      </c>
      <c r="K294" s="1" t="str">
        <f>IFERROR(VLOOKUP(ROWS($J$2:J294),$H$2:$I$570,2,0),"")</f>
        <v/>
      </c>
    </row>
    <row r="295" spans="1:11" x14ac:dyDescent="0.2">
      <c r="A295" s="1">
        <f>IF(COUNTIF($B$2:B295,B295)=1,A294+1,A294)</f>
        <v>12</v>
      </c>
      <c r="B295" s="1" t="s">
        <v>11</v>
      </c>
      <c r="H295" s="1">
        <f>IF(COUNTIF($I$2:I295,I295)=1,H294+1,H294)</f>
        <v>102</v>
      </c>
      <c r="I295" s="1" t="s">
        <v>135</v>
      </c>
      <c r="K295" s="1" t="str">
        <f>IFERROR(VLOOKUP(ROWS($J$2:J295),$H$2:$I$570,2,0),"")</f>
        <v/>
      </c>
    </row>
    <row r="296" spans="1:11" x14ac:dyDescent="0.2">
      <c r="A296" s="1">
        <f>IF(COUNTIF($B$2:B296,B296)=1,A295+1,A295)</f>
        <v>12</v>
      </c>
      <c r="B296" s="1" t="s">
        <v>11</v>
      </c>
      <c r="H296" s="1">
        <f>IF(COUNTIF($I$2:I296,I296)=1,H295+1,H295)</f>
        <v>103</v>
      </c>
      <c r="I296" s="1" t="s">
        <v>185</v>
      </c>
      <c r="K296" s="1" t="str">
        <f>IFERROR(VLOOKUP(ROWS($J$2:J296),$H$2:$I$570,2,0),"")</f>
        <v/>
      </c>
    </row>
    <row r="297" spans="1:11" x14ac:dyDescent="0.2">
      <c r="A297" s="1">
        <f>IF(COUNTIF($B$2:B297,B297)=1,A296+1,A296)</f>
        <v>12</v>
      </c>
      <c r="B297" s="1" t="s">
        <v>11</v>
      </c>
      <c r="H297" s="1">
        <f>IF(COUNTIF($I$2:I297,I297)=1,H296+1,H296)</f>
        <v>104</v>
      </c>
      <c r="I297" s="1" t="s">
        <v>183</v>
      </c>
      <c r="K297" s="1" t="str">
        <f>IFERROR(VLOOKUP(ROWS($J$2:J297),$H$2:$I$570,2,0),"")</f>
        <v/>
      </c>
    </row>
    <row r="298" spans="1:11" x14ac:dyDescent="0.2">
      <c r="A298" s="1">
        <f>IF(COUNTIF($B$2:B298,B298)=1,A297+1,A297)</f>
        <v>12</v>
      </c>
      <c r="B298" s="1" t="s">
        <v>4</v>
      </c>
      <c r="H298" s="1">
        <f>IF(COUNTIF($I$2:I298,I298)=1,H297+1,H297)</f>
        <v>105</v>
      </c>
      <c r="I298" s="1" t="s">
        <v>180</v>
      </c>
      <c r="K298" s="1" t="str">
        <f>IFERROR(VLOOKUP(ROWS($J$2:J298),$H$2:$I$570,2,0),"")</f>
        <v/>
      </c>
    </row>
    <row r="299" spans="1:11" x14ac:dyDescent="0.2">
      <c r="A299" s="1">
        <f>IF(COUNTIF($B$2:B299,B299)=1,A298+1,A298)</f>
        <v>12</v>
      </c>
      <c r="B299" s="1" t="s">
        <v>11</v>
      </c>
      <c r="H299" s="1">
        <f>IF(COUNTIF($I$2:I299,I299)=1,H298+1,H298)</f>
        <v>106</v>
      </c>
      <c r="I299" s="1" t="s">
        <v>164</v>
      </c>
      <c r="K299" s="1" t="str">
        <f>IFERROR(VLOOKUP(ROWS($J$2:J299),$H$2:$I$570,2,0),"")</f>
        <v/>
      </c>
    </row>
    <row r="300" spans="1:11" x14ac:dyDescent="0.2">
      <c r="A300" s="1">
        <f>IF(COUNTIF($B$2:B300,B300)=1,A299+1,A299)</f>
        <v>12</v>
      </c>
      <c r="B300" s="1" t="s">
        <v>11</v>
      </c>
      <c r="H300" s="1">
        <f>IF(COUNTIF($I$2:I300,I300)=1,H299+1,H299)</f>
        <v>107</v>
      </c>
      <c r="I300" s="1" t="s">
        <v>215</v>
      </c>
      <c r="K300" s="1" t="str">
        <f>IFERROR(VLOOKUP(ROWS($J$2:J300),$H$2:$I$570,2,0),"")</f>
        <v/>
      </c>
    </row>
    <row r="301" spans="1:11" x14ac:dyDescent="0.2">
      <c r="A301" s="1">
        <f>IF(COUNTIF($B$2:B301,B301)=1,A300+1,A300)</f>
        <v>12</v>
      </c>
      <c r="B301" s="1" t="s">
        <v>9</v>
      </c>
      <c r="H301" s="1">
        <f>IF(COUNTIF($I$2:I301,I301)=1,H300+1,H300)</f>
        <v>108</v>
      </c>
      <c r="I301" s="1" t="s">
        <v>145</v>
      </c>
      <c r="K301" s="1" t="str">
        <f>IFERROR(VLOOKUP(ROWS($J$2:J301),$H$2:$I$570,2,0),"")</f>
        <v/>
      </c>
    </row>
    <row r="302" spans="1:11" x14ac:dyDescent="0.2">
      <c r="A302" s="1">
        <f>IF(COUNTIF($B$2:B302,B302)=1,A301+1,A301)</f>
        <v>12</v>
      </c>
      <c r="B302" s="1" t="s">
        <v>9</v>
      </c>
      <c r="H302" s="1">
        <f>IF(COUNTIF($I$2:I302,I302)=1,H301+1,H301)</f>
        <v>109</v>
      </c>
      <c r="I302" s="1" t="s">
        <v>211</v>
      </c>
      <c r="K302" s="1" t="str">
        <f>IFERROR(VLOOKUP(ROWS($J$2:J302),$H$2:$I$570,2,0),"")</f>
        <v/>
      </c>
    </row>
    <row r="303" spans="1:11" x14ac:dyDescent="0.2">
      <c r="A303" s="1">
        <f>IF(COUNTIF($B$2:B303,B303)=1,A302+1,A302)</f>
        <v>12</v>
      </c>
      <c r="B303" s="1" t="s">
        <v>9</v>
      </c>
      <c r="H303" s="1">
        <f>IF(COUNTIF($I$2:I303,I303)=1,H302+1,H302)</f>
        <v>110</v>
      </c>
      <c r="I303" s="1" t="s">
        <v>50</v>
      </c>
      <c r="K303" s="1" t="str">
        <f>IFERROR(VLOOKUP(ROWS($J$2:J303),$H$2:$I$570,2,0),"")</f>
        <v/>
      </c>
    </row>
    <row r="304" spans="1:11" x14ac:dyDescent="0.2">
      <c r="A304" s="1">
        <f>IF(COUNTIF($B$2:B304,B304)=1,A303+1,A303)</f>
        <v>12</v>
      </c>
      <c r="B304" s="1" t="s">
        <v>9</v>
      </c>
      <c r="H304" s="1">
        <f>IF(COUNTIF($I$2:I304,I304)=1,H303+1,H303)</f>
        <v>110</v>
      </c>
      <c r="I304" s="1" t="s">
        <v>50</v>
      </c>
      <c r="K304" s="1" t="str">
        <f>IFERROR(VLOOKUP(ROWS($J$2:J304),$H$2:$I$570,2,0),"")</f>
        <v/>
      </c>
    </row>
    <row r="305" spans="1:11" x14ac:dyDescent="0.2">
      <c r="A305" s="1">
        <f>IF(COUNTIF($B$2:B305,B305)=1,A304+1,A304)</f>
        <v>12</v>
      </c>
      <c r="B305" s="1" t="s">
        <v>9</v>
      </c>
      <c r="H305" s="1">
        <f>IF(COUNTIF($I$2:I305,I305)=1,H304+1,H304)</f>
        <v>111</v>
      </c>
      <c r="I305" s="1" t="s">
        <v>80</v>
      </c>
      <c r="K305" s="1" t="str">
        <f>IFERROR(VLOOKUP(ROWS($J$2:J305),$H$2:$I$570,2,0),"")</f>
        <v/>
      </c>
    </row>
    <row r="306" spans="1:11" x14ac:dyDescent="0.2">
      <c r="A306" s="1">
        <f>IF(COUNTIF($B$2:B306,B306)=1,A305+1,A305)</f>
        <v>12</v>
      </c>
      <c r="B306" s="1" t="s">
        <v>9</v>
      </c>
      <c r="H306" s="1">
        <f>IF(COUNTIF($I$2:I306,I306)=1,H305+1,H305)</f>
        <v>111</v>
      </c>
      <c r="I306" s="1" t="s">
        <v>80</v>
      </c>
      <c r="K306" s="1" t="str">
        <f>IFERROR(VLOOKUP(ROWS($J$2:J306),$H$2:$I$570,2,0),"")</f>
        <v/>
      </c>
    </row>
    <row r="307" spans="1:11" x14ac:dyDescent="0.2">
      <c r="A307" s="1">
        <f>IF(COUNTIF($B$2:B307,B307)=1,A306+1,A306)</f>
        <v>12</v>
      </c>
      <c r="B307" s="1" t="s">
        <v>11</v>
      </c>
      <c r="H307" s="1">
        <f>IF(COUNTIF($I$2:I307,I307)=1,H306+1,H306)</f>
        <v>112</v>
      </c>
      <c r="I307" s="1" t="s">
        <v>222</v>
      </c>
      <c r="K307" s="1" t="str">
        <f>IFERROR(VLOOKUP(ROWS($J$2:J307),$H$2:$I$570,2,0),"")</f>
        <v/>
      </c>
    </row>
    <row r="308" spans="1:11" x14ac:dyDescent="0.2">
      <c r="A308" s="1">
        <f>IF(COUNTIF($B$2:B308,B308)=1,A307+1,A307)</f>
        <v>12</v>
      </c>
      <c r="B308" s="1" t="s">
        <v>13</v>
      </c>
      <c r="H308" s="1">
        <f>IF(COUNTIF($I$2:I308,I308)=1,H307+1,H307)</f>
        <v>113</v>
      </c>
      <c r="I308" s="1" t="s">
        <v>201</v>
      </c>
      <c r="K308" s="1" t="str">
        <f>IFERROR(VLOOKUP(ROWS($J$2:J308),$H$2:$I$570,2,0),"")</f>
        <v/>
      </c>
    </row>
    <row r="309" spans="1:11" x14ac:dyDescent="0.2">
      <c r="A309" s="1">
        <f>IF(COUNTIF($B$2:B309,B309)=1,A308+1,A308)</f>
        <v>12</v>
      </c>
      <c r="B309" s="1" t="s">
        <v>15</v>
      </c>
      <c r="H309" s="1">
        <f>IF(COUNTIF($I$2:I309,I309)=1,H308+1,H308)</f>
        <v>114</v>
      </c>
      <c r="I309" s="1" t="s">
        <v>182</v>
      </c>
      <c r="K309" s="1" t="str">
        <f>IFERROR(VLOOKUP(ROWS($J$2:J309),$H$2:$I$570,2,0),"")</f>
        <v/>
      </c>
    </row>
    <row r="310" spans="1:11" x14ac:dyDescent="0.2">
      <c r="A310" s="1">
        <f>IF(COUNTIF($B$2:B310,B310)=1,A309+1,A309)</f>
        <v>12</v>
      </c>
      <c r="B310" s="1" t="s">
        <v>4</v>
      </c>
      <c r="H310" s="1">
        <f>IF(COUNTIF($I$2:I310,I310)=1,H309+1,H309)</f>
        <v>114</v>
      </c>
      <c r="I310" s="1" t="s">
        <v>182</v>
      </c>
      <c r="K310" s="1" t="str">
        <f>IFERROR(VLOOKUP(ROWS($J$2:J310),$H$2:$I$570,2,0),"")</f>
        <v/>
      </c>
    </row>
    <row r="311" spans="1:11" x14ac:dyDescent="0.2">
      <c r="A311" s="1">
        <f>IF(COUNTIF($B$2:B311,B311)=1,A310+1,A310)</f>
        <v>12</v>
      </c>
      <c r="B311" s="1" t="s">
        <v>9</v>
      </c>
      <c r="H311" s="1">
        <f>IF(COUNTIF($I$2:I311,I311)=1,H310+1,H310)</f>
        <v>115</v>
      </c>
      <c r="I311" s="1" t="s">
        <v>159</v>
      </c>
      <c r="K311" s="1" t="str">
        <f>IFERROR(VLOOKUP(ROWS($J$2:J311),$H$2:$I$570,2,0),"")</f>
        <v/>
      </c>
    </row>
    <row r="312" spans="1:11" x14ac:dyDescent="0.2">
      <c r="A312" s="1">
        <f>IF(COUNTIF($B$2:B312,B312)=1,A311+1,A311)</f>
        <v>12</v>
      </c>
      <c r="B312" s="1" t="s">
        <v>13</v>
      </c>
      <c r="H312" s="1">
        <f>IF(COUNTIF($I$2:I312,I312)=1,H311+1,H311)</f>
        <v>116</v>
      </c>
      <c r="I312" s="1" t="s">
        <v>84</v>
      </c>
      <c r="K312" s="1" t="str">
        <f>IFERROR(VLOOKUP(ROWS($J$2:J312),$H$2:$I$570,2,0),"")</f>
        <v/>
      </c>
    </row>
    <row r="313" spans="1:11" x14ac:dyDescent="0.2">
      <c r="A313" s="1">
        <f>IF(COUNTIF($B$2:B313,B313)=1,A312+1,A312)</f>
        <v>12</v>
      </c>
      <c r="B313" s="1" t="s">
        <v>9</v>
      </c>
      <c r="H313" s="1">
        <f>IF(COUNTIF($I$2:I313,I313)=1,H312+1,H312)</f>
        <v>116</v>
      </c>
      <c r="I313" s="1" t="s">
        <v>84</v>
      </c>
      <c r="K313" s="1" t="str">
        <f>IFERROR(VLOOKUP(ROWS($J$2:J313),$H$2:$I$570,2,0),"")</f>
        <v/>
      </c>
    </row>
    <row r="314" spans="1:11" x14ac:dyDescent="0.2">
      <c r="A314" s="1">
        <f>IF(COUNTIF($B$2:B314,B314)=1,A313+1,A313)</f>
        <v>12</v>
      </c>
      <c r="B314" s="1" t="s">
        <v>9</v>
      </c>
      <c r="H314" s="1">
        <f>IF(COUNTIF($I$2:I314,I314)=1,H313+1,H313)</f>
        <v>116</v>
      </c>
      <c r="I314" s="1" t="s">
        <v>84</v>
      </c>
      <c r="K314" s="1" t="str">
        <f>IFERROR(VLOOKUP(ROWS($J$2:J314),$H$2:$I$570,2,0),"")</f>
        <v/>
      </c>
    </row>
    <row r="315" spans="1:11" x14ac:dyDescent="0.2">
      <c r="A315" s="1">
        <f>IF(COUNTIF($B$2:B315,B315)=1,A314+1,A314)</f>
        <v>12</v>
      </c>
      <c r="B315" s="1" t="s">
        <v>14</v>
      </c>
      <c r="H315" s="1">
        <f>IF(COUNTIF($I$2:I315,I315)=1,H314+1,H314)</f>
        <v>117</v>
      </c>
      <c r="I315" s="1" t="s">
        <v>221</v>
      </c>
      <c r="K315" s="1" t="str">
        <f>IFERROR(VLOOKUP(ROWS($J$2:J315),$H$2:$I$570,2,0),"")</f>
        <v/>
      </c>
    </row>
    <row r="316" spans="1:11" x14ac:dyDescent="0.2">
      <c r="A316" s="1">
        <f>IF(COUNTIF($B$2:B316,B316)=1,A315+1,A315)</f>
        <v>12</v>
      </c>
      <c r="B316" s="1" t="s">
        <v>8</v>
      </c>
      <c r="H316" s="1">
        <f>IF(COUNTIF($I$2:I316,I316)=1,H315+1,H315)</f>
        <v>117</v>
      </c>
      <c r="I316" s="1" t="s">
        <v>221</v>
      </c>
      <c r="K316" s="1" t="str">
        <f>IFERROR(VLOOKUP(ROWS($J$2:J316),$H$2:$I$570,2,0),"")</f>
        <v/>
      </c>
    </row>
    <row r="317" spans="1:11" x14ac:dyDescent="0.2">
      <c r="A317" s="1">
        <f>IF(COUNTIF($B$2:B317,B317)=1,A316+1,A316)</f>
        <v>12</v>
      </c>
      <c r="B317" s="1" t="s">
        <v>8</v>
      </c>
      <c r="H317" s="1">
        <f>IF(COUNTIF($I$2:I317,I317)=1,H316+1,H316)</f>
        <v>118</v>
      </c>
      <c r="I317" s="1" t="s">
        <v>88</v>
      </c>
      <c r="K317" s="1" t="str">
        <f>IFERROR(VLOOKUP(ROWS($J$2:J317),$H$2:$I$570,2,0),"")</f>
        <v/>
      </c>
    </row>
    <row r="318" spans="1:11" x14ac:dyDescent="0.2">
      <c r="A318" s="1">
        <f>IF(COUNTIF($B$2:B318,B318)=1,A317+1,A317)</f>
        <v>12</v>
      </c>
      <c r="B318" s="1" t="s">
        <v>8</v>
      </c>
      <c r="H318" s="1">
        <f>IF(COUNTIF($I$2:I318,I318)=1,H317+1,H317)</f>
        <v>119</v>
      </c>
      <c r="I318" s="1" t="s">
        <v>123</v>
      </c>
      <c r="K318" s="1" t="str">
        <f>IFERROR(VLOOKUP(ROWS($J$2:J318),$H$2:$I$570,2,0),"")</f>
        <v/>
      </c>
    </row>
    <row r="319" spans="1:11" x14ac:dyDescent="0.2">
      <c r="A319" s="1">
        <f>IF(COUNTIF($B$2:B319,B319)=1,A318+1,A318)</f>
        <v>12</v>
      </c>
      <c r="B319" s="1" t="s">
        <v>8</v>
      </c>
      <c r="H319" s="1">
        <f>IF(COUNTIF($I$2:I319,I319)=1,H318+1,H318)</f>
        <v>119</v>
      </c>
      <c r="I319" s="1" t="s">
        <v>123</v>
      </c>
      <c r="K319" s="1" t="str">
        <f>IFERROR(VLOOKUP(ROWS($J$2:J319),$H$2:$I$570,2,0),"")</f>
        <v/>
      </c>
    </row>
    <row r="320" spans="1:11" x14ac:dyDescent="0.2">
      <c r="A320" s="1">
        <f>IF(COUNTIF($B$2:B320,B320)=1,A319+1,A319)</f>
        <v>12</v>
      </c>
      <c r="B320" s="1" t="s">
        <v>8</v>
      </c>
      <c r="H320" s="1">
        <f>IF(COUNTIF($I$2:I320,I320)=1,H319+1,H319)</f>
        <v>119</v>
      </c>
      <c r="I320" s="1" t="s">
        <v>123</v>
      </c>
      <c r="K320" s="1" t="str">
        <f>IFERROR(VLOOKUP(ROWS($J$2:J320),$H$2:$I$570,2,0),"")</f>
        <v/>
      </c>
    </row>
    <row r="321" spans="1:11" x14ac:dyDescent="0.2">
      <c r="A321" s="1">
        <f>IF(COUNTIF($B$2:B321,B321)=1,A320+1,A320)</f>
        <v>12</v>
      </c>
      <c r="B321" s="1" t="s">
        <v>8</v>
      </c>
      <c r="H321" s="1">
        <f>IF(COUNTIF($I$2:I321,I321)=1,H320+1,H320)</f>
        <v>120</v>
      </c>
      <c r="I321" s="1" t="s">
        <v>190</v>
      </c>
      <c r="K321" s="1" t="str">
        <f>IFERROR(VLOOKUP(ROWS($J$2:J321),$H$2:$I$570,2,0),"")</f>
        <v/>
      </c>
    </row>
    <row r="322" spans="1:11" x14ac:dyDescent="0.2">
      <c r="A322" s="1">
        <f>IF(COUNTIF($B$2:B322,B322)=1,A321+1,A321)</f>
        <v>12</v>
      </c>
      <c r="B322" s="1" t="s">
        <v>8</v>
      </c>
      <c r="H322" s="1">
        <f>IF(COUNTIF($I$2:I322,I322)=1,H321+1,H321)</f>
        <v>120</v>
      </c>
      <c r="I322" s="1" t="s">
        <v>190</v>
      </c>
      <c r="K322" s="1" t="str">
        <f>IFERROR(VLOOKUP(ROWS($J$2:J322),$H$2:$I$570,2,0),"")</f>
        <v/>
      </c>
    </row>
    <row r="323" spans="1:11" x14ac:dyDescent="0.2">
      <c r="A323" s="1">
        <f>IF(COUNTIF($B$2:B323,B323)=1,A322+1,A322)</f>
        <v>12</v>
      </c>
      <c r="B323" s="1" t="s">
        <v>8</v>
      </c>
      <c r="H323" s="1">
        <f>IF(COUNTIF($I$2:I323,I323)=1,H322+1,H322)</f>
        <v>121</v>
      </c>
      <c r="I323" s="1" t="s">
        <v>161</v>
      </c>
      <c r="K323" s="1" t="str">
        <f>IFERROR(VLOOKUP(ROWS($J$2:J323),$H$2:$I$570,2,0),"")</f>
        <v/>
      </c>
    </row>
    <row r="324" spans="1:11" x14ac:dyDescent="0.2">
      <c r="A324" s="1">
        <f>IF(COUNTIF($B$2:B324,B324)=1,A323+1,A323)</f>
        <v>12</v>
      </c>
      <c r="B324" s="1" t="s">
        <v>8</v>
      </c>
      <c r="H324" s="1">
        <f>IF(COUNTIF($I$2:I324,I324)=1,H323+1,H323)</f>
        <v>121</v>
      </c>
      <c r="I324" s="1" t="s">
        <v>161</v>
      </c>
      <c r="K324" s="1" t="str">
        <f>IFERROR(VLOOKUP(ROWS($J$2:J324),$H$2:$I$570,2,0),"")</f>
        <v/>
      </c>
    </row>
    <row r="325" spans="1:11" x14ac:dyDescent="0.2">
      <c r="A325" s="1">
        <f>IF(COUNTIF($B$2:B325,B325)=1,A324+1,A324)</f>
        <v>12</v>
      </c>
      <c r="B325" s="1" t="s">
        <v>8</v>
      </c>
      <c r="H325" s="1">
        <f>IF(COUNTIF($I$2:I325,I325)=1,H324+1,H324)</f>
        <v>122</v>
      </c>
      <c r="I325" s="1" t="s">
        <v>26</v>
      </c>
      <c r="K325" s="1" t="str">
        <f>IFERROR(VLOOKUP(ROWS($J$2:J325),$H$2:$I$570,2,0),"")</f>
        <v/>
      </c>
    </row>
    <row r="326" spans="1:11" x14ac:dyDescent="0.2">
      <c r="A326" s="1">
        <f>IF(COUNTIF($B$2:B326,B326)=1,A325+1,A325)</f>
        <v>12</v>
      </c>
      <c r="B326" s="1" t="s">
        <v>8</v>
      </c>
      <c r="H326" s="1">
        <f>IF(COUNTIF($I$2:I326,I326)=1,H325+1,H325)</f>
        <v>122</v>
      </c>
      <c r="I326" s="1" t="s">
        <v>26</v>
      </c>
      <c r="K326" s="1" t="str">
        <f>IFERROR(VLOOKUP(ROWS($J$2:J326),$H$2:$I$570,2,0),"")</f>
        <v/>
      </c>
    </row>
    <row r="327" spans="1:11" x14ac:dyDescent="0.2">
      <c r="A327" s="1">
        <f>IF(COUNTIF($B$2:B327,B327)=1,A326+1,A326)</f>
        <v>12</v>
      </c>
      <c r="B327" s="1" t="s">
        <v>11</v>
      </c>
      <c r="H327" s="1">
        <f>IF(COUNTIF($I$2:I327,I327)=1,H326+1,H326)</f>
        <v>123</v>
      </c>
      <c r="I327" s="1" t="s">
        <v>160</v>
      </c>
      <c r="K327" s="1" t="str">
        <f>IFERROR(VLOOKUP(ROWS($J$2:J327),$H$2:$I$570,2,0),"")</f>
        <v/>
      </c>
    </row>
    <row r="328" spans="1:11" x14ac:dyDescent="0.2">
      <c r="A328" s="1">
        <f>IF(COUNTIF($B$2:B328,B328)=1,A327+1,A327)</f>
        <v>12</v>
      </c>
      <c r="B328" s="1" t="s">
        <v>11</v>
      </c>
      <c r="H328" s="1">
        <f>IF(COUNTIF($I$2:I328,I328)=1,H327+1,H327)</f>
        <v>123</v>
      </c>
      <c r="I328" s="1" t="s">
        <v>160</v>
      </c>
      <c r="K328" s="1" t="str">
        <f>IFERROR(VLOOKUP(ROWS($J$2:J328),$H$2:$I$570,2,0),"")</f>
        <v/>
      </c>
    </row>
    <row r="329" spans="1:11" x14ac:dyDescent="0.2">
      <c r="A329" s="1">
        <f>IF(COUNTIF($B$2:B329,B329)=1,A328+1,A328)</f>
        <v>12</v>
      </c>
      <c r="B329" s="1" t="s">
        <v>11</v>
      </c>
      <c r="H329" s="1">
        <f>IF(COUNTIF($I$2:I329,I329)=1,H328+1,H328)</f>
        <v>124</v>
      </c>
      <c r="I329" s="1" t="s">
        <v>199</v>
      </c>
      <c r="K329" s="1" t="str">
        <f>IFERROR(VLOOKUP(ROWS($J$2:J329),$H$2:$I$570,2,0),"")</f>
        <v/>
      </c>
    </row>
    <row r="330" spans="1:11" x14ac:dyDescent="0.2">
      <c r="A330" s="1">
        <f>IF(COUNTIF($B$2:B330,B330)=1,A329+1,A329)</f>
        <v>12</v>
      </c>
      <c r="B330" s="1" t="s">
        <v>11</v>
      </c>
      <c r="H330" s="1">
        <f>IF(COUNTIF($I$2:I330,I330)=1,H329+1,H329)</f>
        <v>125</v>
      </c>
      <c r="I330" s="1" t="s">
        <v>111</v>
      </c>
      <c r="K330" s="1" t="str">
        <f>IFERROR(VLOOKUP(ROWS($J$2:J330),$H$2:$I$570,2,0),"")</f>
        <v/>
      </c>
    </row>
    <row r="331" spans="1:11" x14ac:dyDescent="0.2">
      <c r="A331" s="1">
        <f>IF(COUNTIF($B$2:B331,B331)=1,A330+1,A330)</f>
        <v>12</v>
      </c>
      <c r="B331" s="1" t="s">
        <v>11</v>
      </c>
      <c r="H331" s="1">
        <f>IF(COUNTIF($I$2:I331,I331)=1,H330+1,H330)</f>
        <v>125</v>
      </c>
      <c r="I331" s="1" t="s">
        <v>111</v>
      </c>
      <c r="K331" s="1" t="str">
        <f>IFERROR(VLOOKUP(ROWS($J$2:J331),$H$2:$I$570,2,0),"")</f>
        <v/>
      </c>
    </row>
    <row r="332" spans="1:11" x14ac:dyDescent="0.2">
      <c r="A332" s="1">
        <f>IF(COUNTIF($B$2:B332,B332)=1,A331+1,A331)</f>
        <v>12</v>
      </c>
      <c r="B332" s="1" t="s">
        <v>11</v>
      </c>
      <c r="H332" s="1">
        <f>IF(COUNTIF($I$2:I332,I332)=1,H331+1,H331)</f>
        <v>126</v>
      </c>
      <c r="I332" s="1" t="s">
        <v>22</v>
      </c>
      <c r="K332" s="1" t="str">
        <f>IFERROR(VLOOKUP(ROWS($J$2:J332),$H$2:$I$570,2,0),"")</f>
        <v/>
      </c>
    </row>
    <row r="333" spans="1:11" x14ac:dyDescent="0.2">
      <c r="A333" s="1">
        <f>IF(COUNTIF($B$2:B333,B333)=1,A332+1,A332)</f>
        <v>12</v>
      </c>
      <c r="B333" s="1" t="s">
        <v>5</v>
      </c>
      <c r="H333" s="1">
        <f>IF(COUNTIF($I$2:I333,I333)=1,H332+1,H332)</f>
        <v>126</v>
      </c>
      <c r="I333" s="1" t="s">
        <v>22</v>
      </c>
      <c r="K333" s="1" t="str">
        <f>IFERROR(VLOOKUP(ROWS($J$2:J333),$H$2:$I$570,2,0),"")</f>
        <v/>
      </c>
    </row>
    <row r="334" spans="1:11" x14ac:dyDescent="0.2">
      <c r="A334" s="1">
        <f>IF(COUNTIF($B$2:B334,B334)=1,A333+1,A333)</f>
        <v>12</v>
      </c>
      <c r="B334" s="1" t="s">
        <v>11</v>
      </c>
      <c r="H334" s="1">
        <f>IF(COUNTIF($I$2:I334,I334)=1,H333+1,H333)</f>
        <v>127</v>
      </c>
      <c r="I334" s="1" t="s">
        <v>158</v>
      </c>
      <c r="K334" s="1" t="str">
        <f>IFERROR(VLOOKUP(ROWS($J$2:J334),$H$2:$I$570,2,0),"")</f>
        <v/>
      </c>
    </row>
    <row r="335" spans="1:11" x14ac:dyDescent="0.2">
      <c r="A335" s="1">
        <f>IF(COUNTIF($B$2:B335,B335)=1,A334+1,A334)</f>
        <v>12</v>
      </c>
      <c r="B335" s="1" t="s">
        <v>9</v>
      </c>
      <c r="H335" s="1">
        <f>IF(COUNTIF($I$2:I335,I335)=1,H334+1,H334)</f>
        <v>127</v>
      </c>
      <c r="I335" s="1" t="s">
        <v>158</v>
      </c>
      <c r="K335" s="1" t="str">
        <f>IFERROR(VLOOKUP(ROWS($J$2:J335),$H$2:$I$570,2,0),"")</f>
        <v/>
      </c>
    </row>
    <row r="336" spans="1:11" x14ac:dyDescent="0.2">
      <c r="A336" s="1">
        <f>IF(COUNTIF($B$2:B336,B336)=1,A335+1,A335)</f>
        <v>12</v>
      </c>
      <c r="B336" s="1" t="s">
        <v>9</v>
      </c>
      <c r="H336" s="1">
        <f>IF(COUNTIF($I$2:I336,I336)=1,H335+1,H335)</f>
        <v>127</v>
      </c>
      <c r="I336" s="1" t="s">
        <v>158</v>
      </c>
      <c r="K336" s="1" t="str">
        <f>IFERROR(VLOOKUP(ROWS($J$2:J336),$H$2:$I$570,2,0),"")</f>
        <v/>
      </c>
    </row>
    <row r="337" spans="1:11" x14ac:dyDescent="0.2">
      <c r="A337" s="1">
        <f>IF(COUNTIF($B$2:B337,B337)=1,A336+1,A336)</f>
        <v>12</v>
      </c>
      <c r="B337" s="1" t="s">
        <v>9</v>
      </c>
      <c r="H337" s="1">
        <f>IF(COUNTIF($I$2:I337,I337)=1,H336+1,H336)</f>
        <v>128</v>
      </c>
      <c r="I337" s="1" t="s">
        <v>169</v>
      </c>
      <c r="K337" s="1" t="str">
        <f>IFERROR(VLOOKUP(ROWS($J$2:J337),$H$2:$I$570,2,0),"")</f>
        <v/>
      </c>
    </row>
    <row r="338" spans="1:11" x14ac:dyDescent="0.2">
      <c r="A338" s="1">
        <f>IF(COUNTIF($B$2:B338,B338)=1,A337+1,A337)</f>
        <v>12</v>
      </c>
      <c r="B338" s="1" t="s">
        <v>9</v>
      </c>
      <c r="H338" s="1">
        <f>IF(COUNTIF($I$2:I338,I338)=1,H337+1,H337)</f>
        <v>129</v>
      </c>
      <c r="I338" s="1" t="s">
        <v>89</v>
      </c>
      <c r="K338" s="1" t="str">
        <f>IFERROR(VLOOKUP(ROWS($J$2:J338),$H$2:$I$570,2,0),"")</f>
        <v/>
      </c>
    </row>
    <row r="339" spans="1:11" x14ac:dyDescent="0.2">
      <c r="A339" s="1">
        <f>IF(COUNTIF($B$2:B339,B339)=1,A338+1,A338)</f>
        <v>12</v>
      </c>
      <c r="B339" s="1" t="s">
        <v>14</v>
      </c>
      <c r="H339" s="1">
        <f>IF(COUNTIF($I$2:I339,I339)=1,H338+1,H338)</f>
        <v>129</v>
      </c>
      <c r="I339" s="1" t="s">
        <v>89</v>
      </c>
      <c r="K339" s="1" t="str">
        <f>IFERROR(VLOOKUP(ROWS($J$2:J339),$H$2:$I$570,2,0),"")</f>
        <v/>
      </c>
    </row>
    <row r="340" spans="1:11" x14ac:dyDescent="0.2">
      <c r="A340" s="1">
        <f>IF(COUNTIF($B$2:B340,B340)=1,A339+1,A339)</f>
        <v>12</v>
      </c>
      <c r="B340" s="1" t="s">
        <v>9</v>
      </c>
      <c r="H340" s="1">
        <f>IF(COUNTIF($I$2:I340,I340)=1,H339+1,H339)</f>
        <v>130</v>
      </c>
      <c r="I340" s="1" t="s">
        <v>244</v>
      </c>
      <c r="K340" s="1" t="str">
        <f>IFERROR(VLOOKUP(ROWS($J$2:J340),$H$2:$I$570,2,0),"")</f>
        <v/>
      </c>
    </row>
    <row r="341" spans="1:11" x14ac:dyDescent="0.2">
      <c r="A341" s="1">
        <f>IF(COUNTIF($B$2:B341,B341)=1,A340+1,A340)</f>
        <v>12</v>
      </c>
      <c r="B341" s="1" t="s">
        <v>11</v>
      </c>
      <c r="H341" s="1">
        <f>IF(COUNTIF($I$2:I341,I341)=1,H340+1,H340)</f>
        <v>131</v>
      </c>
      <c r="I341" s="1" t="s">
        <v>81</v>
      </c>
      <c r="K341" s="1" t="str">
        <f>IFERROR(VLOOKUP(ROWS($J$2:J341),$H$2:$I$570,2,0),"")</f>
        <v/>
      </c>
    </row>
    <row r="342" spans="1:11" x14ac:dyDescent="0.2">
      <c r="A342" s="1">
        <f>IF(COUNTIF($B$2:B342,B342)=1,A341+1,A341)</f>
        <v>12</v>
      </c>
      <c r="B342" s="1" t="s">
        <v>4</v>
      </c>
      <c r="H342" s="1">
        <f>IF(COUNTIF($I$2:I342,I342)=1,H341+1,H341)</f>
        <v>131</v>
      </c>
      <c r="I342" s="1" t="s">
        <v>81</v>
      </c>
      <c r="K342" s="1" t="str">
        <f>IFERROR(VLOOKUP(ROWS($J$2:J342),$H$2:$I$570,2,0),"")</f>
        <v/>
      </c>
    </row>
    <row r="343" spans="1:11" x14ac:dyDescent="0.2">
      <c r="A343" s="1">
        <f>IF(COUNTIF($B$2:B343,B343)=1,A342+1,A342)</f>
        <v>12</v>
      </c>
      <c r="B343" s="1" t="s">
        <v>8</v>
      </c>
      <c r="H343" s="1">
        <f>IF(COUNTIF($I$2:I343,I343)=1,H342+1,H342)</f>
        <v>131</v>
      </c>
      <c r="I343" s="1" t="s">
        <v>81</v>
      </c>
      <c r="K343" s="1" t="str">
        <f>IFERROR(VLOOKUP(ROWS($J$2:J343),$H$2:$I$570,2,0),"")</f>
        <v/>
      </c>
    </row>
    <row r="344" spans="1:11" x14ac:dyDescent="0.2">
      <c r="A344" s="1">
        <f>IF(COUNTIF($B$2:B344,B344)=1,A343+1,A343)</f>
        <v>12</v>
      </c>
      <c r="B344" s="1" t="s">
        <v>4</v>
      </c>
      <c r="H344" s="1">
        <f>IF(COUNTIF($I$2:I344,I344)=1,H343+1,H343)</f>
        <v>132</v>
      </c>
      <c r="I344" s="1" t="s">
        <v>40</v>
      </c>
      <c r="K344" s="1" t="str">
        <f>IFERROR(VLOOKUP(ROWS($J$2:J344),$H$2:$I$570,2,0),"")</f>
        <v/>
      </c>
    </row>
    <row r="345" spans="1:11" x14ac:dyDescent="0.2">
      <c r="A345" s="1">
        <f>IF(COUNTIF($B$2:B345,B345)=1,A344+1,A344)</f>
        <v>12</v>
      </c>
      <c r="B345" s="1" t="s">
        <v>9</v>
      </c>
      <c r="H345" s="1">
        <f>IF(COUNTIF($I$2:I345,I345)=1,H344+1,H344)</f>
        <v>132</v>
      </c>
      <c r="I345" s="1" t="s">
        <v>40</v>
      </c>
      <c r="K345" s="1" t="str">
        <f>IFERROR(VLOOKUP(ROWS($J$2:J345),$H$2:$I$570,2,0),"")</f>
        <v/>
      </c>
    </row>
    <row r="346" spans="1:11" x14ac:dyDescent="0.2">
      <c r="A346" s="1">
        <f>IF(COUNTIF($B$2:B346,B346)=1,A345+1,A345)</f>
        <v>12</v>
      </c>
      <c r="B346" s="1" t="s">
        <v>4</v>
      </c>
      <c r="H346" s="1">
        <f>IF(COUNTIF($I$2:I346,I346)=1,H345+1,H345)</f>
        <v>133</v>
      </c>
      <c r="I346" s="1" t="s">
        <v>137</v>
      </c>
      <c r="K346" s="1" t="str">
        <f>IFERROR(VLOOKUP(ROWS($J$2:J346),$H$2:$I$570,2,0),"")</f>
        <v/>
      </c>
    </row>
    <row r="347" spans="1:11" x14ac:dyDescent="0.2">
      <c r="A347" s="1">
        <f>IF(COUNTIF($B$2:B347,B347)=1,A346+1,A346)</f>
        <v>12</v>
      </c>
      <c r="B347" s="1" t="s">
        <v>11</v>
      </c>
      <c r="H347" s="1">
        <f>IF(COUNTIF($I$2:I347,I347)=1,H346+1,H346)</f>
        <v>133</v>
      </c>
      <c r="I347" s="1" t="s">
        <v>137</v>
      </c>
      <c r="K347" s="1" t="str">
        <f>IFERROR(VLOOKUP(ROWS($J$2:J347),$H$2:$I$570,2,0),"")</f>
        <v/>
      </c>
    </row>
    <row r="348" spans="1:11" x14ac:dyDescent="0.2">
      <c r="A348" s="1">
        <f>IF(COUNTIF($B$2:B348,B348)=1,A347+1,A347)</f>
        <v>12</v>
      </c>
      <c r="B348" s="1" t="s">
        <v>4</v>
      </c>
      <c r="H348" s="1">
        <f>IF(COUNTIF($I$2:I348,I348)=1,H347+1,H347)</f>
        <v>134</v>
      </c>
      <c r="I348" s="1" t="s">
        <v>51</v>
      </c>
      <c r="K348" s="1" t="str">
        <f>IFERROR(VLOOKUP(ROWS($J$2:J348),$H$2:$I$570,2,0),"")</f>
        <v/>
      </c>
    </row>
    <row r="349" spans="1:11" x14ac:dyDescent="0.2">
      <c r="A349" s="1">
        <f>IF(COUNTIF($B$2:B349,B349)=1,A348+1,A348)</f>
        <v>12</v>
      </c>
      <c r="B349" s="1" t="s">
        <v>4</v>
      </c>
      <c r="H349" s="1">
        <f>IF(COUNTIF($I$2:I349,I349)=1,H348+1,H348)</f>
        <v>134</v>
      </c>
      <c r="I349" s="1" t="s">
        <v>51</v>
      </c>
      <c r="K349" s="1" t="str">
        <f>IFERROR(VLOOKUP(ROWS($J$2:J349),$H$2:$I$570,2,0),"")</f>
        <v/>
      </c>
    </row>
    <row r="350" spans="1:11" x14ac:dyDescent="0.2">
      <c r="A350" s="1">
        <f>IF(COUNTIF($B$2:B350,B350)=1,A349+1,A349)</f>
        <v>12</v>
      </c>
      <c r="B350" s="1" t="s">
        <v>11</v>
      </c>
      <c r="H350" s="1">
        <f>IF(COUNTIF($I$2:I350,I350)=1,H349+1,H349)</f>
        <v>134</v>
      </c>
      <c r="I350" s="1" t="s">
        <v>51</v>
      </c>
      <c r="K350" s="1" t="str">
        <f>IFERROR(VLOOKUP(ROWS($J$2:J350),$H$2:$I$570,2,0),"")</f>
        <v/>
      </c>
    </row>
    <row r="351" spans="1:11" x14ac:dyDescent="0.2">
      <c r="A351" s="1">
        <f>IF(COUNTIF($B$2:B351,B351)=1,A350+1,A350)</f>
        <v>12</v>
      </c>
      <c r="B351" s="1" t="s">
        <v>8</v>
      </c>
      <c r="H351" s="1">
        <f>IF(COUNTIF($I$2:I351,I351)=1,H350+1,H350)</f>
        <v>134</v>
      </c>
      <c r="I351" s="1" t="s">
        <v>51</v>
      </c>
      <c r="K351" s="1" t="str">
        <f>IFERROR(VLOOKUP(ROWS($J$2:J351),$H$2:$I$570,2,0),"")</f>
        <v/>
      </c>
    </row>
    <row r="352" spans="1:11" x14ac:dyDescent="0.2">
      <c r="A352" s="1">
        <f>IF(COUNTIF($B$2:B352,B352)=1,A351+1,A351)</f>
        <v>12</v>
      </c>
      <c r="B352" s="1" t="s">
        <v>4</v>
      </c>
      <c r="H352" s="1">
        <f>IF(COUNTIF($I$2:I352,I352)=1,H351+1,H351)</f>
        <v>135</v>
      </c>
      <c r="I352" s="1" t="s">
        <v>232</v>
      </c>
      <c r="K352" s="1" t="str">
        <f>IFERROR(VLOOKUP(ROWS($J$2:J352),$H$2:$I$570,2,0),"")</f>
        <v/>
      </c>
    </row>
    <row r="353" spans="1:11" x14ac:dyDescent="0.2">
      <c r="A353" s="1">
        <f>IF(COUNTIF($B$2:B353,B353)=1,A352+1,A352)</f>
        <v>12</v>
      </c>
      <c r="B353" s="1" t="s">
        <v>4</v>
      </c>
      <c r="H353" s="1">
        <f>IF(COUNTIF($I$2:I353,I353)=1,H352+1,H352)</f>
        <v>136</v>
      </c>
      <c r="I353" s="1" t="s">
        <v>147</v>
      </c>
      <c r="K353" s="1" t="str">
        <f>IFERROR(VLOOKUP(ROWS($J$2:J353),$H$2:$I$570,2,0),"")</f>
        <v/>
      </c>
    </row>
    <row r="354" spans="1:11" x14ac:dyDescent="0.2">
      <c r="A354" s="1">
        <f>IF(COUNTIF($B$2:B354,B354)=1,A353+1,A353)</f>
        <v>12</v>
      </c>
      <c r="B354" s="1" t="s">
        <v>4</v>
      </c>
      <c r="H354" s="1">
        <f>IF(COUNTIF($I$2:I354,I354)=1,H353+1,H353)</f>
        <v>137</v>
      </c>
      <c r="I354" s="1" t="s">
        <v>170</v>
      </c>
      <c r="K354" s="1" t="str">
        <f>IFERROR(VLOOKUP(ROWS($J$2:J354),$H$2:$I$570,2,0),"")</f>
        <v/>
      </c>
    </row>
    <row r="355" spans="1:11" x14ac:dyDescent="0.2">
      <c r="A355" s="1">
        <f>IF(COUNTIF($B$2:B355,B355)=1,A354+1,A354)</f>
        <v>12</v>
      </c>
      <c r="B355" s="1" t="s">
        <v>4</v>
      </c>
      <c r="H355" s="1">
        <f>IF(COUNTIF($I$2:I355,I355)=1,H354+1,H354)</f>
        <v>138</v>
      </c>
      <c r="I355" s="1" t="s">
        <v>41</v>
      </c>
      <c r="K355" s="1" t="str">
        <f>IFERROR(VLOOKUP(ROWS($J$2:J355),$H$2:$I$570,2,0),"")</f>
        <v/>
      </c>
    </row>
    <row r="356" spans="1:11" x14ac:dyDescent="0.2">
      <c r="A356" s="1">
        <f>IF(COUNTIF($B$2:B356,B356)=1,A355+1,A355)</f>
        <v>12</v>
      </c>
      <c r="B356" s="1" t="s">
        <v>4</v>
      </c>
      <c r="H356" s="1">
        <f>IF(COUNTIF($I$2:I356,I356)=1,H355+1,H355)</f>
        <v>139</v>
      </c>
      <c r="I356" s="1" t="s">
        <v>49</v>
      </c>
      <c r="K356" s="1" t="str">
        <f>IFERROR(VLOOKUP(ROWS($J$2:J356),$H$2:$I$570,2,0),"")</f>
        <v/>
      </c>
    </row>
    <row r="357" spans="1:11" x14ac:dyDescent="0.2">
      <c r="A357" s="1">
        <f>IF(COUNTIF($B$2:B357,B357)=1,A356+1,A356)</f>
        <v>12</v>
      </c>
      <c r="B357" s="1" t="s">
        <v>4</v>
      </c>
      <c r="H357" s="1">
        <f>IF(COUNTIF($I$2:I357,I357)=1,H356+1,H356)</f>
        <v>139</v>
      </c>
      <c r="I357" s="1" t="s">
        <v>49</v>
      </c>
      <c r="K357" s="1" t="str">
        <f>IFERROR(VLOOKUP(ROWS($J$2:J357),$H$2:$I$570,2,0),"")</f>
        <v/>
      </c>
    </row>
    <row r="358" spans="1:11" x14ac:dyDescent="0.2">
      <c r="A358" s="1">
        <f>IF(COUNTIF($B$2:B358,B358)=1,A357+1,A357)</f>
        <v>12</v>
      </c>
      <c r="B358" s="1" t="s">
        <v>4</v>
      </c>
      <c r="H358" s="1">
        <f>IF(COUNTIF($I$2:I358,I358)=1,H357+1,H357)</f>
        <v>139</v>
      </c>
      <c r="I358" s="1" t="s">
        <v>49</v>
      </c>
      <c r="K358" s="1" t="str">
        <f>IFERROR(VLOOKUP(ROWS($J$2:J358),$H$2:$I$570,2,0),"")</f>
        <v/>
      </c>
    </row>
    <row r="359" spans="1:11" x14ac:dyDescent="0.2">
      <c r="A359" s="1">
        <f>IF(COUNTIF($B$2:B359,B359)=1,A358+1,A358)</f>
        <v>12</v>
      </c>
      <c r="B359" s="1" t="s">
        <v>8</v>
      </c>
      <c r="H359" s="1">
        <f>IF(COUNTIF($I$2:I359,I359)=1,H358+1,H358)</f>
        <v>140</v>
      </c>
      <c r="I359" s="1" t="s">
        <v>156</v>
      </c>
      <c r="K359" s="1" t="str">
        <f>IFERROR(VLOOKUP(ROWS($J$2:J359),$H$2:$I$570,2,0),"")</f>
        <v/>
      </c>
    </row>
    <row r="360" spans="1:11" x14ac:dyDescent="0.2">
      <c r="A360" s="1">
        <f>IF(COUNTIF($B$2:B360,B360)=1,A359+1,A359)</f>
        <v>12</v>
      </c>
      <c r="B360" s="1" t="s">
        <v>11</v>
      </c>
      <c r="H360" s="1">
        <f>IF(COUNTIF($I$2:I360,I360)=1,H359+1,H359)</f>
        <v>141</v>
      </c>
      <c r="I360" s="1" t="s">
        <v>104</v>
      </c>
      <c r="K360" s="1" t="str">
        <f>IFERROR(VLOOKUP(ROWS($J$2:J360),$H$2:$I$570,2,0),"")</f>
        <v/>
      </c>
    </row>
    <row r="361" spans="1:11" x14ac:dyDescent="0.2">
      <c r="A361" s="1">
        <f>IF(COUNTIF($B$2:B361,B361)=1,A360+1,A360)</f>
        <v>12</v>
      </c>
      <c r="B361" s="1" t="s">
        <v>11</v>
      </c>
      <c r="H361" s="1">
        <f>IF(COUNTIF($I$2:I361,I361)=1,H360+1,H360)</f>
        <v>141</v>
      </c>
      <c r="I361" s="1" t="s">
        <v>104</v>
      </c>
      <c r="K361" s="1" t="str">
        <f>IFERROR(VLOOKUP(ROWS($J$2:J361),$H$2:$I$570,2,0),"")</f>
        <v/>
      </c>
    </row>
    <row r="362" spans="1:11" x14ac:dyDescent="0.2">
      <c r="A362" s="1">
        <f>IF(COUNTIF($B$2:B362,B362)=1,A361+1,A361)</f>
        <v>12</v>
      </c>
      <c r="B362" s="1" t="s">
        <v>4</v>
      </c>
      <c r="H362" s="1">
        <f>IF(COUNTIF($I$2:I362,I362)=1,H361+1,H361)</f>
        <v>142</v>
      </c>
      <c r="I362" s="1" t="s">
        <v>220</v>
      </c>
      <c r="K362" s="1" t="str">
        <f>IFERROR(VLOOKUP(ROWS($J$2:J362),$H$2:$I$570,2,0),"")</f>
        <v/>
      </c>
    </row>
    <row r="363" spans="1:11" x14ac:dyDescent="0.2">
      <c r="A363" s="1">
        <f>IF(COUNTIF($B$2:B363,B363)=1,A362+1,A362)</f>
        <v>12</v>
      </c>
      <c r="B363" s="1" t="s">
        <v>11</v>
      </c>
      <c r="H363" s="1">
        <f>IF(COUNTIF($I$2:I363,I363)=1,H362+1,H362)</f>
        <v>143</v>
      </c>
      <c r="I363" s="1" t="s">
        <v>204</v>
      </c>
      <c r="K363" s="1" t="str">
        <f>IFERROR(VLOOKUP(ROWS($J$2:J363),$H$2:$I$570,2,0),"")</f>
        <v/>
      </c>
    </row>
    <row r="364" spans="1:11" x14ac:dyDescent="0.2">
      <c r="A364" s="1">
        <f>IF(COUNTIF($B$2:B364,B364)=1,A363+1,A363)</f>
        <v>12</v>
      </c>
      <c r="B364" s="1" t="s">
        <v>11</v>
      </c>
      <c r="H364" s="1">
        <f>IF(COUNTIF($I$2:I364,I364)=1,H363+1,H363)</f>
        <v>144</v>
      </c>
      <c r="I364" s="1" t="s">
        <v>119</v>
      </c>
      <c r="K364" s="1" t="str">
        <f>IFERROR(VLOOKUP(ROWS($J$2:J364),$H$2:$I$570,2,0),"")</f>
        <v/>
      </c>
    </row>
    <row r="365" spans="1:11" x14ac:dyDescent="0.2">
      <c r="A365" s="1">
        <f>IF(COUNTIF($B$2:B365,B365)=1,A364+1,A364)</f>
        <v>12</v>
      </c>
      <c r="B365" s="1" t="s">
        <v>5</v>
      </c>
      <c r="H365" s="1">
        <f>IF(COUNTIF($I$2:I365,I365)=1,H364+1,H364)</f>
        <v>145</v>
      </c>
      <c r="I365" s="1" t="s">
        <v>216</v>
      </c>
      <c r="K365" s="1" t="str">
        <f>IFERROR(VLOOKUP(ROWS($J$2:J365),$H$2:$I$570,2,0),"")</f>
        <v/>
      </c>
    </row>
    <row r="366" spans="1:11" x14ac:dyDescent="0.2">
      <c r="A366" s="1">
        <f>IF(COUNTIF($B$2:B366,B366)=1,A365+1,A365)</f>
        <v>12</v>
      </c>
      <c r="B366" s="1" t="s">
        <v>9</v>
      </c>
      <c r="H366" s="1">
        <f>IF(COUNTIF($I$2:I366,I366)=1,H365+1,H365)</f>
        <v>146</v>
      </c>
      <c r="I366" s="1" t="s">
        <v>39</v>
      </c>
      <c r="K366" s="1" t="str">
        <f>IFERROR(VLOOKUP(ROWS($J$2:J366),$H$2:$I$570,2,0),"")</f>
        <v/>
      </c>
    </row>
    <row r="367" spans="1:11" x14ac:dyDescent="0.2">
      <c r="A367" s="1">
        <f>IF(COUNTIF($B$2:B367,B367)=1,A366+1,A366)</f>
        <v>12</v>
      </c>
      <c r="B367" s="1" t="s">
        <v>9</v>
      </c>
      <c r="H367" s="1">
        <f>IF(COUNTIF($I$2:I367,I367)=1,H366+1,H366)</f>
        <v>146</v>
      </c>
      <c r="I367" s="1" t="s">
        <v>39</v>
      </c>
      <c r="K367" s="1" t="str">
        <f>IFERROR(VLOOKUP(ROWS($J$2:J367),$H$2:$I$570,2,0),"")</f>
        <v/>
      </c>
    </row>
    <row r="368" spans="1:11" x14ac:dyDescent="0.2">
      <c r="A368" s="1">
        <f>IF(COUNTIF($B$2:B368,B368)=1,A367+1,A367)</f>
        <v>12</v>
      </c>
      <c r="B368" s="1" t="s">
        <v>9</v>
      </c>
      <c r="H368" s="1">
        <f>IF(COUNTIF($I$2:I368,I368)=1,H367+1,H367)</f>
        <v>147</v>
      </c>
      <c r="I368" s="1" t="s">
        <v>79</v>
      </c>
      <c r="K368" s="1" t="str">
        <f>IFERROR(VLOOKUP(ROWS($J$2:J368),$H$2:$I$570,2,0),"")</f>
        <v/>
      </c>
    </row>
    <row r="369" spans="1:11" x14ac:dyDescent="0.2">
      <c r="A369" s="1">
        <f>IF(COUNTIF($B$2:B369,B369)=1,A368+1,A368)</f>
        <v>12</v>
      </c>
      <c r="B369" s="1" t="s">
        <v>5</v>
      </c>
      <c r="H369" s="1">
        <f>IF(COUNTIF($I$2:I369,I369)=1,H368+1,H368)</f>
        <v>147</v>
      </c>
      <c r="I369" s="1" t="s">
        <v>79</v>
      </c>
      <c r="K369" s="1" t="str">
        <f>IFERROR(VLOOKUP(ROWS($J$2:J369),$H$2:$I$570,2,0),"")</f>
        <v/>
      </c>
    </row>
    <row r="370" spans="1:11" x14ac:dyDescent="0.2">
      <c r="A370" s="1">
        <f>IF(COUNTIF($B$2:B370,B370)=1,A369+1,A369)</f>
        <v>12</v>
      </c>
      <c r="B370" s="1" t="s">
        <v>9</v>
      </c>
      <c r="H370" s="1">
        <f>IF(COUNTIF($I$2:I370,I370)=1,H369+1,H369)</f>
        <v>148</v>
      </c>
      <c r="I370" s="1" t="s">
        <v>175</v>
      </c>
      <c r="K370" s="1" t="str">
        <f>IFERROR(VLOOKUP(ROWS($J$2:J370),$H$2:$I$570,2,0),"")</f>
        <v/>
      </c>
    </row>
    <row r="371" spans="1:11" x14ac:dyDescent="0.2">
      <c r="A371" s="1">
        <f>IF(COUNTIF($B$2:B371,B371)=1,A370+1,A370)</f>
        <v>13</v>
      </c>
      <c r="B371" s="1" t="s">
        <v>18</v>
      </c>
      <c r="H371" s="1">
        <f>IF(COUNTIF($I$2:I371,I371)=1,H370+1,H370)</f>
        <v>149</v>
      </c>
      <c r="I371" s="1" t="s">
        <v>23</v>
      </c>
      <c r="K371" s="1" t="str">
        <f>IFERROR(VLOOKUP(ROWS($J$2:J371),$H$2:$I$570,2,0),"")</f>
        <v/>
      </c>
    </row>
    <row r="372" spans="1:11" x14ac:dyDescent="0.2">
      <c r="A372" s="1">
        <f>IF(COUNTIF($B$2:B372,B372)=1,A371+1,A371)</f>
        <v>13</v>
      </c>
      <c r="B372" s="1" t="s">
        <v>16</v>
      </c>
      <c r="H372" s="1">
        <f>IF(COUNTIF($I$2:I372,I372)=1,H371+1,H371)</f>
        <v>149</v>
      </c>
      <c r="I372" s="1" t="s">
        <v>23</v>
      </c>
      <c r="K372" s="1" t="str">
        <f>IFERROR(VLOOKUP(ROWS($J$2:J372),$H$2:$I$570,2,0),"")</f>
        <v/>
      </c>
    </row>
    <row r="373" spans="1:11" x14ac:dyDescent="0.2">
      <c r="A373" s="1">
        <f>IF(COUNTIF($B$2:B373,B373)=1,A372+1,A372)</f>
        <v>13</v>
      </c>
      <c r="B373" s="1" t="s">
        <v>5</v>
      </c>
      <c r="H373" s="1">
        <f>IF(COUNTIF($I$2:I373,I373)=1,H372+1,H372)</f>
        <v>150</v>
      </c>
      <c r="I373" s="1" t="s">
        <v>167</v>
      </c>
      <c r="K373" s="1" t="str">
        <f>IFERROR(VLOOKUP(ROWS($J$2:J373),$H$2:$I$570,2,0),"")</f>
        <v/>
      </c>
    </row>
    <row r="374" spans="1:11" x14ac:dyDescent="0.2">
      <c r="A374" s="1">
        <f>IF(COUNTIF($B$2:B374,B374)=1,A373+1,A373)</f>
        <v>13</v>
      </c>
      <c r="B374" s="1" t="s">
        <v>4</v>
      </c>
      <c r="H374" s="1">
        <f>IF(COUNTIF($I$2:I374,I374)=1,H373+1,H373)</f>
        <v>150</v>
      </c>
      <c r="I374" s="1" t="s">
        <v>167</v>
      </c>
      <c r="K374" s="1" t="str">
        <f>IFERROR(VLOOKUP(ROWS($J$2:J374),$H$2:$I$570,2,0),"")</f>
        <v/>
      </c>
    </row>
    <row r="375" spans="1:11" x14ac:dyDescent="0.2">
      <c r="A375" s="1">
        <f>IF(COUNTIF($B$2:B375,B375)=1,A374+1,A374)</f>
        <v>13</v>
      </c>
      <c r="B375" s="1" t="s">
        <v>8</v>
      </c>
      <c r="H375" s="1">
        <f>IF(COUNTIF($I$2:I375,I375)=1,H374+1,H374)</f>
        <v>151</v>
      </c>
      <c r="I375" s="1" t="s">
        <v>82</v>
      </c>
      <c r="K375" s="1" t="str">
        <f>IFERROR(VLOOKUP(ROWS($J$2:J375),$H$2:$I$570,2,0),"")</f>
        <v/>
      </c>
    </row>
    <row r="376" spans="1:11" x14ac:dyDescent="0.2">
      <c r="A376" s="1">
        <f>IF(COUNTIF($B$2:B376,B376)=1,A375+1,A375)</f>
        <v>13</v>
      </c>
      <c r="B376" s="1" t="s">
        <v>11</v>
      </c>
      <c r="H376" s="1">
        <f>IF(COUNTIF($I$2:I376,I376)=1,H375+1,H375)</f>
        <v>151</v>
      </c>
      <c r="I376" s="1" t="s">
        <v>82</v>
      </c>
      <c r="K376" s="1" t="str">
        <f>IFERROR(VLOOKUP(ROWS($J$2:J376),$H$2:$I$570,2,0),"")</f>
        <v/>
      </c>
    </row>
    <row r="377" spans="1:11" x14ac:dyDescent="0.2">
      <c r="A377" s="1">
        <f>IF(COUNTIF($B$2:B377,B377)=1,A376+1,A376)</f>
        <v>13</v>
      </c>
      <c r="B377" s="1" t="s">
        <v>11</v>
      </c>
      <c r="H377" s="1">
        <f>IF(COUNTIF($I$2:I377,I377)=1,H376+1,H376)</f>
        <v>151</v>
      </c>
      <c r="I377" s="1" t="s">
        <v>82</v>
      </c>
      <c r="K377" s="1" t="str">
        <f>IFERROR(VLOOKUP(ROWS($J$2:J377),$H$2:$I$570,2,0),"")</f>
        <v/>
      </c>
    </row>
    <row r="378" spans="1:11" x14ac:dyDescent="0.2">
      <c r="A378" s="1">
        <f>IF(COUNTIF($B$2:B378,B378)=1,A377+1,A377)</f>
        <v>13</v>
      </c>
      <c r="B378" s="1" t="s">
        <v>11</v>
      </c>
      <c r="H378" s="1">
        <f>IF(COUNTIF($I$2:I378,I378)=1,H377+1,H377)</f>
        <v>152</v>
      </c>
      <c r="I378" s="1" t="s">
        <v>103</v>
      </c>
      <c r="K378" s="1" t="str">
        <f>IFERROR(VLOOKUP(ROWS($J$2:J378),$H$2:$I$570,2,0),"")</f>
        <v/>
      </c>
    </row>
    <row r="379" spans="1:11" x14ac:dyDescent="0.2">
      <c r="A379" s="1">
        <f>IF(COUNTIF($B$2:B379,B379)=1,A378+1,A378)</f>
        <v>13</v>
      </c>
      <c r="B379" s="1" t="s">
        <v>4</v>
      </c>
      <c r="H379" s="1">
        <f>IF(COUNTIF($I$2:I379,I379)=1,H378+1,H378)</f>
        <v>153</v>
      </c>
      <c r="I379" s="1" t="s">
        <v>99</v>
      </c>
      <c r="K379" s="1" t="str">
        <f>IFERROR(VLOOKUP(ROWS($J$2:J379),$H$2:$I$570,2,0),"")</f>
        <v/>
      </c>
    </row>
    <row r="380" spans="1:11" x14ac:dyDescent="0.2">
      <c r="A380" s="1">
        <f>IF(COUNTIF($B$2:B380,B380)=1,A379+1,A379)</f>
        <v>13</v>
      </c>
      <c r="B380" s="1" t="s">
        <v>11</v>
      </c>
      <c r="H380" s="1">
        <f>IF(COUNTIF($I$2:I380,I380)=1,H379+1,H379)</f>
        <v>153</v>
      </c>
      <c r="I380" s="1" t="s">
        <v>99</v>
      </c>
      <c r="K380" s="1" t="str">
        <f>IFERROR(VLOOKUP(ROWS($J$2:J380),$H$2:$I$570,2,0),"")</f>
        <v/>
      </c>
    </row>
    <row r="381" spans="1:11" x14ac:dyDescent="0.2">
      <c r="A381" s="1">
        <f>IF(COUNTIF($B$2:B381,B381)=1,A380+1,A380)</f>
        <v>13</v>
      </c>
      <c r="B381" s="1" t="s">
        <v>11</v>
      </c>
      <c r="H381" s="1">
        <f>IF(COUNTIF($I$2:I381,I381)=1,H380+1,H380)</f>
        <v>153</v>
      </c>
      <c r="I381" s="1" t="s">
        <v>99</v>
      </c>
      <c r="K381" s="1" t="str">
        <f>IFERROR(VLOOKUP(ROWS($J$2:J381),$H$2:$I$570,2,0),"")</f>
        <v/>
      </c>
    </row>
    <row r="382" spans="1:11" x14ac:dyDescent="0.2">
      <c r="A382" s="1">
        <f>IF(COUNTIF($B$2:B382,B382)=1,A381+1,A381)</f>
        <v>13</v>
      </c>
      <c r="B382" s="1" t="s">
        <v>11</v>
      </c>
      <c r="H382" s="1">
        <f>IF(COUNTIF($I$2:I382,I382)=1,H381+1,H381)</f>
        <v>153</v>
      </c>
      <c r="I382" s="1" t="s">
        <v>99</v>
      </c>
      <c r="K382" s="1" t="str">
        <f>IFERROR(VLOOKUP(ROWS($J$2:J382),$H$2:$I$570,2,0),"")</f>
        <v/>
      </c>
    </row>
    <row r="383" spans="1:11" x14ac:dyDescent="0.2">
      <c r="A383" s="1">
        <f>IF(COUNTIF($B$2:B383,B383)=1,A382+1,A382)</f>
        <v>13</v>
      </c>
      <c r="B383" s="1" t="s">
        <v>8</v>
      </c>
      <c r="H383" s="1">
        <f>IF(COUNTIF($I$2:I383,I383)=1,H382+1,H382)</f>
        <v>154</v>
      </c>
      <c r="I383" s="1" t="s">
        <v>142</v>
      </c>
      <c r="K383" s="1" t="str">
        <f>IFERROR(VLOOKUP(ROWS($J$2:J383),$H$2:$I$570,2,0),"")</f>
        <v/>
      </c>
    </row>
    <row r="384" spans="1:11" x14ac:dyDescent="0.2">
      <c r="A384" s="1">
        <f>IF(COUNTIF($B$2:B384,B384)=1,A383+1,A383)</f>
        <v>13</v>
      </c>
      <c r="B384" s="1" t="s">
        <v>16</v>
      </c>
      <c r="H384" s="1">
        <f>IF(COUNTIF($I$2:I384,I384)=1,H383+1,H383)</f>
        <v>154</v>
      </c>
      <c r="I384" s="1" t="s">
        <v>142</v>
      </c>
      <c r="K384" s="1" t="str">
        <f>IFERROR(VLOOKUP(ROWS($J$2:J384),$H$2:$I$570,2,0),"")</f>
        <v/>
      </c>
    </row>
    <row r="385" spans="1:11" x14ac:dyDescent="0.2">
      <c r="A385" s="1">
        <f>IF(COUNTIF($B$2:B385,B385)=1,A384+1,A384)</f>
        <v>13</v>
      </c>
      <c r="B385" s="1" t="s">
        <v>8</v>
      </c>
      <c r="H385" s="1">
        <f>IF(COUNTIF($I$2:I385,I385)=1,H384+1,H384)</f>
        <v>155</v>
      </c>
      <c r="I385" s="1" t="s">
        <v>136</v>
      </c>
      <c r="K385" s="1" t="str">
        <f>IFERROR(VLOOKUP(ROWS($J$2:J385),$H$2:$I$570,2,0),"")</f>
        <v/>
      </c>
    </row>
    <row r="386" spans="1:11" x14ac:dyDescent="0.2">
      <c r="A386" s="1">
        <f>IF(COUNTIF($B$2:B386,B386)=1,A385+1,A385)</f>
        <v>13</v>
      </c>
      <c r="B386" s="1" t="s">
        <v>8</v>
      </c>
      <c r="H386" s="1">
        <f>IF(COUNTIF($I$2:I386,I386)=1,H385+1,H385)</f>
        <v>155</v>
      </c>
      <c r="I386" s="1" t="s">
        <v>136</v>
      </c>
      <c r="K386" s="1" t="str">
        <f>IFERROR(VLOOKUP(ROWS($J$2:J386),$H$2:$I$570,2,0),"")</f>
        <v/>
      </c>
    </row>
    <row r="387" spans="1:11" x14ac:dyDescent="0.2">
      <c r="A387" s="1">
        <f>IF(COUNTIF($B$2:B387,B387)=1,A386+1,A386)</f>
        <v>13</v>
      </c>
      <c r="B387" s="1" t="s">
        <v>8</v>
      </c>
      <c r="H387" s="1">
        <f>IF(COUNTIF($I$2:I387,I387)=1,H386+1,H386)</f>
        <v>156</v>
      </c>
      <c r="I387" s="1" t="s">
        <v>61</v>
      </c>
      <c r="K387" s="1" t="str">
        <f>IFERROR(VLOOKUP(ROWS($J$2:J387),$H$2:$I$570,2,0),"")</f>
        <v/>
      </c>
    </row>
    <row r="388" spans="1:11" x14ac:dyDescent="0.2">
      <c r="A388" s="1">
        <f>IF(COUNTIF($B$2:B388,B388)=1,A387+1,A387)</f>
        <v>13</v>
      </c>
      <c r="B388" s="1" t="s">
        <v>8</v>
      </c>
      <c r="H388" s="1">
        <f>IF(COUNTIF($I$2:I388,I388)=1,H387+1,H387)</f>
        <v>156</v>
      </c>
      <c r="I388" s="1" t="s">
        <v>61</v>
      </c>
      <c r="K388" s="1" t="str">
        <f>IFERROR(VLOOKUP(ROWS($J$2:J388),$H$2:$I$570,2,0),"")</f>
        <v/>
      </c>
    </row>
    <row r="389" spans="1:11" x14ac:dyDescent="0.2">
      <c r="A389" s="1">
        <f>IF(COUNTIF($B$2:B389,B389)=1,A388+1,A388)</f>
        <v>13</v>
      </c>
      <c r="B389" s="1" t="s">
        <v>8</v>
      </c>
      <c r="H389" s="1">
        <f>IF(COUNTIF($I$2:I389,I389)=1,H388+1,H388)</f>
        <v>157</v>
      </c>
      <c r="I389" s="1" t="s">
        <v>110</v>
      </c>
      <c r="K389" s="1" t="str">
        <f>IFERROR(VLOOKUP(ROWS($J$2:J389),$H$2:$I$570,2,0),"")</f>
        <v/>
      </c>
    </row>
    <row r="390" spans="1:11" x14ac:dyDescent="0.2">
      <c r="A390" s="1">
        <f>IF(COUNTIF($B$2:B390,B390)=1,A389+1,A389)</f>
        <v>13</v>
      </c>
      <c r="B390" s="1" t="s">
        <v>8</v>
      </c>
      <c r="H390" s="1">
        <f>IF(COUNTIF($I$2:I390,I390)=1,H389+1,H389)</f>
        <v>158</v>
      </c>
      <c r="I390" s="1" t="s">
        <v>206</v>
      </c>
      <c r="K390" s="1" t="str">
        <f>IFERROR(VLOOKUP(ROWS($J$2:J390),$H$2:$I$570,2,0),"")</f>
        <v/>
      </c>
    </row>
    <row r="391" spans="1:11" x14ac:dyDescent="0.2">
      <c r="A391" s="1">
        <f>IF(COUNTIF($B$2:B391,B391)=1,A390+1,A390)</f>
        <v>13</v>
      </c>
      <c r="B391" s="1" t="s">
        <v>8</v>
      </c>
      <c r="H391" s="1">
        <f>IF(COUNTIF($I$2:I391,I391)=1,H390+1,H390)</f>
        <v>159</v>
      </c>
      <c r="I391" s="1" t="s">
        <v>168</v>
      </c>
      <c r="K391" s="1" t="str">
        <f>IFERROR(VLOOKUP(ROWS($J$2:J391),$H$2:$I$570,2,0),"")</f>
        <v/>
      </c>
    </row>
    <row r="392" spans="1:11" x14ac:dyDescent="0.2">
      <c r="A392" s="1">
        <f>IF(COUNTIF($B$2:B392,B392)=1,A391+1,A391)</f>
        <v>13</v>
      </c>
      <c r="B392" s="1" t="s">
        <v>8</v>
      </c>
      <c r="H392" s="1">
        <f>IF(COUNTIF($I$2:I392,I392)=1,H391+1,H391)</f>
        <v>159</v>
      </c>
      <c r="I392" s="1" t="s">
        <v>168</v>
      </c>
      <c r="K392" s="1" t="str">
        <f>IFERROR(VLOOKUP(ROWS($J$2:J392),$H$2:$I$570,2,0),"")</f>
        <v/>
      </c>
    </row>
    <row r="393" spans="1:11" x14ac:dyDescent="0.2">
      <c r="A393" s="1">
        <f>IF(COUNTIF($B$2:B393,B393)=1,A392+1,A392)</f>
        <v>13</v>
      </c>
      <c r="B393" s="1" t="s">
        <v>8</v>
      </c>
      <c r="H393" s="1">
        <f>IF(COUNTIF($I$2:I393,I393)=1,H392+1,H392)</f>
        <v>160</v>
      </c>
      <c r="I393" s="1" t="s">
        <v>87</v>
      </c>
      <c r="K393" s="1" t="str">
        <f>IFERROR(VLOOKUP(ROWS($J$2:J393),$H$2:$I$570,2,0),"")</f>
        <v/>
      </c>
    </row>
    <row r="394" spans="1:11" x14ac:dyDescent="0.2">
      <c r="A394" s="1">
        <f>IF(COUNTIF($B$2:B394,B394)=1,A393+1,A393)</f>
        <v>13</v>
      </c>
      <c r="B394" s="1" t="s">
        <v>11</v>
      </c>
      <c r="H394" s="1">
        <f>IF(COUNTIF($I$2:I394,I394)=1,H393+1,H393)</f>
        <v>160</v>
      </c>
      <c r="I394" s="1" t="s">
        <v>87</v>
      </c>
      <c r="K394" s="1" t="str">
        <f>IFERROR(VLOOKUP(ROWS($J$2:J394),$H$2:$I$570,2,0),"")</f>
        <v/>
      </c>
    </row>
    <row r="395" spans="1:11" x14ac:dyDescent="0.2">
      <c r="A395" s="1">
        <f>IF(COUNTIF($B$2:B395,B395)=1,A394+1,A394)</f>
        <v>13</v>
      </c>
      <c r="B395" s="1" t="s">
        <v>11</v>
      </c>
      <c r="H395" s="1">
        <f>IF(COUNTIF($I$2:I395,I395)=1,H394+1,H394)</f>
        <v>160</v>
      </c>
      <c r="I395" s="1" t="s">
        <v>87</v>
      </c>
      <c r="K395" s="1" t="str">
        <f>IFERROR(VLOOKUP(ROWS($J$2:J395),$H$2:$I$570,2,0),"")</f>
        <v/>
      </c>
    </row>
    <row r="396" spans="1:11" x14ac:dyDescent="0.2">
      <c r="A396" s="1">
        <f>IF(COUNTIF($B$2:B396,B396)=1,A395+1,A395)</f>
        <v>13</v>
      </c>
      <c r="B396" s="1" t="s">
        <v>4</v>
      </c>
      <c r="H396" s="1">
        <f>IF(COUNTIF($I$2:I396,I396)=1,H395+1,H395)</f>
        <v>160</v>
      </c>
      <c r="I396" s="1" t="s">
        <v>87</v>
      </c>
      <c r="K396" s="1" t="str">
        <f>IFERROR(VLOOKUP(ROWS($J$2:J396),$H$2:$I$570,2,0),"")</f>
        <v/>
      </c>
    </row>
    <row r="397" spans="1:11" x14ac:dyDescent="0.2">
      <c r="A397" s="1">
        <f>IF(COUNTIF($B$2:B397,B397)=1,A396+1,A396)</f>
        <v>13</v>
      </c>
      <c r="B397" s="1" t="s">
        <v>16</v>
      </c>
      <c r="H397" s="1">
        <f>IF(COUNTIF($I$2:I397,I397)=1,H396+1,H396)</f>
        <v>161</v>
      </c>
      <c r="I397" s="1" t="s">
        <v>191</v>
      </c>
      <c r="K397" s="1" t="str">
        <f>IFERROR(VLOOKUP(ROWS($J$2:J397),$H$2:$I$570,2,0),"")</f>
        <v/>
      </c>
    </row>
    <row r="398" spans="1:11" x14ac:dyDescent="0.2">
      <c r="A398" s="1">
        <f>IF(COUNTIF($B$2:B398,B398)=1,A397+1,A397)</f>
        <v>13</v>
      </c>
      <c r="B398" s="1" t="s">
        <v>11</v>
      </c>
      <c r="H398" s="1">
        <f>IF(COUNTIF($I$2:I398,I398)=1,H397+1,H397)</f>
        <v>161</v>
      </c>
      <c r="I398" s="1" t="s">
        <v>191</v>
      </c>
      <c r="K398" s="1" t="str">
        <f>IFERROR(VLOOKUP(ROWS($J$2:J398),$H$2:$I$570,2,0),"")</f>
        <v/>
      </c>
    </row>
    <row r="399" spans="1:11" x14ac:dyDescent="0.2">
      <c r="A399" s="1">
        <f>IF(COUNTIF($B$2:B399,B399)=1,A398+1,A398)</f>
        <v>13</v>
      </c>
      <c r="B399" s="1" t="s">
        <v>9</v>
      </c>
      <c r="H399" s="1">
        <f>IF(COUNTIF($I$2:I399,I399)=1,H398+1,H398)</f>
        <v>162</v>
      </c>
      <c r="I399" s="1" t="s">
        <v>74</v>
      </c>
      <c r="K399" s="1" t="str">
        <f>IFERROR(VLOOKUP(ROWS($J$2:J399),$H$2:$I$570,2,0),"")</f>
        <v/>
      </c>
    </row>
    <row r="400" spans="1:11" x14ac:dyDescent="0.2">
      <c r="A400" s="1">
        <f>IF(COUNTIF($B$2:B400,B400)=1,A399+1,A399)</f>
        <v>13</v>
      </c>
      <c r="B400" s="1" t="s">
        <v>9</v>
      </c>
      <c r="H400" s="1">
        <f>IF(COUNTIF($I$2:I400,I400)=1,H399+1,H399)</f>
        <v>162</v>
      </c>
      <c r="I400" s="1" t="s">
        <v>74</v>
      </c>
      <c r="K400" s="1" t="str">
        <f>IFERROR(VLOOKUP(ROWS($J$2:J400),$H$2:$I$570,2,0),"")</f>
        <v/>
      </c>
    </row>
    <row r="401" spans="1:11" x14ac:dyDescent="0.2">
      <c r="A401" s="1">
        <f>IF(COUNTIF($B$2:B401,B401)=1,A400+1,A400)</f>
        <v>13</v>
      </c>
      <c r="B401" s="1" t="s">
        <v>9</v>
      </c>
      <c r="H401" s="1">
        <f>IF(COUNTIF($I$2:I401,I401)=1,H400+1,H400)</f>
        <v>163</v>
      </c>
      <c r="I401" s="1" t="s">
        <v>73</v>
      </c>
      <c r="K401" s="1" t="str">
        <f>IFERROR(VLOOKUP(ROWS($J$2:J401),$H$2:$I$570,2,0),"")</f>
        <v/>
      </c>
    </row>
    <row r="402" spans="1:11" x14ac:dyDescent="0.2">
      <c r="A402" s="1">
        <f>IF(COUNTIF($B$2:B402,B402)=1,A401+1,A401)</f>
        <v>13</v>
      </c>
      <c r="B402" s="1" t="s">
        <v>9</v>
      </c>
      <c r="H402" s="1">
        <f>IF(COUNTIF($I$2:I402,I402)=1,H401+1,H401)</f>
        <v>163</v>
      </c>
      <c r="I402" s="1" t="s">
        <v>73</v>
      </c>
      <c r="K402" s="1" t="str">
        <f>IFERROR(VLOOKUP(ROWS($J$2:J402),$H$2:$I$570,2,0),"")</f>
        <v/>
      </c>
    </row>
    <row r="403" spans="1:11" x14ac:dyDescent="0.2">
      <c r="A403" s="1">
        <f>IF(COUNTIF($B$2:B403,B403)=1,A402+1,A402)</f>
        <v>13</v>
      </c>
      <c r="B403" s="1" t="s">
        <v>9</v>
      </c>
      <c r="H403" s="1">
        <f>IF(COUNTIF($I$2:I403,I403)=1,H402+1,H402)</f>
        <v>164</v>
      </c>
      <c r="I403" s="1" t="s">
        <v>121</v>
      </c>
      <c r="K403" s="1" t="str">
        <f>IFERROR(VLOOKUP(ROWS($J$2:J403),$H$2:$I$570,2,0),"")</f>
        <v/>
      </c>
    </row>
    <row r="404" spans="1:11" x14ac:dyDescent="0.2">
      <c r="A404" s="1">
        <f>IF(COUNTIF($B$2:B404,B404)=1,A403+1,A403)</f>
        <v>13</v>
      </c>
      <c r="B404" s="1" t="s">
        <v>9</v>
      </c>
      <c r="H404" s="1">
        <f>IF(COUNTIF($I$2:I404,I404)=1,H403+1,H403)</f>
        <v>164</v>
      </c>
      <c r="I404" s="1" t="s">
        <v>121</v>
      </c>
      <c r="K404" s="1" t="str">
        <f>IFERROR(VLOOKUP(ROWS($J$2:J404),$H$2:$I$570,2,0),"")</f>
        <v/>
      </c>
    </row>
    <row r="405" spans="1:11" x14ac:dyDescent="0.2">
      <c r="A405" s="1">
        <f>IF(COUNTIF($B$2:B405,B405)=1,A404+1,A404)</f>
        <v>13</v>
      </c>
      <c r="B405" s="1" t="s">
        <v>9</v>
      </c>
      <c r="H405" s="1">
        <f>IF(COUNTIF($I$2:I405,I405)=1,H404+1,H404)</f>
        <v>165</v>
      </c>
      <c r="I405" s="1" t="s">
        <v>195</v>
      </c>
      <c r="K405" s="1" t="str">
        <f>IFERROR(VLOOKUP(ROWS($J$2:J405),$H$2:$I$570,2,0),"")</f>
        <v/>
      </c>
    </row>
    <row r="406" spans="1:11" x14ac:dyDescent="0.2">
      <c r="A406" s="1">
        <f>IF(COUNTIF($B$2:B406,B406)=1,A405+1,A405)</f>
        <v>13</v>
      </c>
      <c r="B406" s="1" t="s">
        <v>9</v>
      </c>
      <c r="H406" s="1">
        <f>IF(COUNTIF($I$2:I406,I406)=1,H405+1,H405)</f>
        <v>166</v>
      </c>
      <c r="I406" s="1" t="s">
        <v>234</v>
      </c>
      <c r="K406" s="1" t="str">
        <f>IFERROR(VLOOKUP(ROWS($J$2:J406),$H$2:$I$570,2,0),"")</f>
        <v/>
      </c>
    </row>
    <row r="407" spans="1:11" x14ac:dyDescent="0.2">
      <c r="A407" s="1">
        <f>IF(COUNTIF($B$2:B407,B407)=1,A406+1,A406)</f>
        <v>13</v>
      </c>
      <c r="B407" s="1" t="s">
        <v>9</v>
      </c>
      <c r="H407" s="1">
        <f>IF(COUNTIF($I$2:I407,I407)=1,H406+1,H406)</f>
        <v>167</v>
      </c>
      <c r="I407" s="1" t="s">
        <v>120</v>
      </c>
      <c r="K407" s="1" t="str">
        <f>IFERROR(VLOOKUP(ROWS($J$2:J407),$H$2:$I$570,2,0),"")</f>
        <v/>
      </c>
    </row>
    <row r="408" spans="1:11" x14ac:dyDescent="0.2">
      <c r="A408" s="1">
        <f>IF(COUNTIF($B$2:B408,B408)=1,A407+1,A407)</f>
        <v>13</v>
      </c>
      <c r="B408" s="1" t="s">
        <v>9</v>
      </c>
      <c r="H408" s="1">
        <f>IF(COUNTIF($I$2:I408,I408)=1,H407+1,H407)</f>
        <v>167</v>
      </c>
      <c r="I408" s="1" t="s">
        <v>120</v>
      </c>
      <c r="K408" s="1" t="str">
        <f>IFERROR(VLOOKUP(ROWS($J$2:J408),$H$2:$I$570,2,0),"")</f>
        <v/>
      </c>
    </row>
    <row r="409" spans="1:11" x14ac:dyDescent="0.2">
      <c r="A409" s="1">
        <f>IF(COUNTIF($B$2:B409,B409)=1,A408+1,A408)</f>
        <v>13</v>
      </c>
      <c r="B409" s="1" t="s">
        <v>9</v>
      </c>
      <c r="H409" s="1">
        <f>IF(COUNTIF($I$2:I409,I409)=1,H408+1,H408)</f>
        <v>168</v>
      </c>
      <c r="I409" s="1" t="s">
        <v>58</v>
      </c>
      <c r="K409" s="1" t="str">
        <f>IFERROR(VLOOKUP(ROWS($J$2:J409),$H$2:$I$570,2,0),"")</f>
        <v/>
      </c>
    </row>
    <row r="410" spans="1:11" x14ac:dyDescent="0.2">
      <c r="A410" s="1">
        <f>IF(COUNTIF($B$2:B410,B410)=1,A409+1,A409)</f>
        <v>13</v>
      </c>
      <c r="B410" s="1" t="s">
        <v>9</v>
      </c>
      <c r="H410" s="1">
        <f>IF(COUNTIF($I$2:I410,I410)=1,H409+1,H409)</f>
        <v>168</v>
      </c>
      <c r="I410" s="1" t="s">
        <v>58</v>
      </c>
      <c r="K410" s="1" t="str">
        <f>IFERROR(VLOOKUP(ROWS($J$2:J410),$H$2:$I$570,2,0),"")</f>
        <v/>
      </c>
    </row>
    <row r="411" spans="1:11" x14ac:dyDescent="0.2">
      <c r="A411" s="1">
        <f>IF(COUNTIF($B$2:B411,B411)=1,A410+1,A410)</f>
        <v>13</v>
      </c>
      <c r="B411" s="1" t="s">
        <v>9</v>
      </c>
      <c r="H411" s="1">
        <f>IF(COUNTIF($I$2:I411,I411)=1,H410+1,H410)</f>
        <v>168</v>
      </c>
      <c r="I411" s="1" t="s">
        <v>58</v>
      </c>
      <c r="K411" s="1" t="str">
        <f>IFERROR(VLOOKUP(ROWS($J$2:J411),$H$2:$I$570,2,0),"")</f>
        <v/>
      </c>
    </row>
    <row r="412" spans="1:11" x14ac:dyDescent="0.2">
      <c r="A412" s="1">
        <f>IF(COUNTIF($B$2:B412,B412)=1,A411+1,A411)</f>
        <v>13</v>
      </c>
      <c r="B412" s="1" t="s">
        <v>9</v>
      </c>
      <c r="H412" s="1">
        <f>IF(COUNTIF($I$2:I412,I412)=1,H411+1,H411)</f>
        <v>168</v>
      </c>
      <c r="I412" s="1" t="s">
        <v>58</v>
      </c>
      <c r="K412" s="1" t="str">
        <f>IFERROR(VLOOKUP(ROWS($J$2:J412),$H$2:$I$570,2,0),"")</f>
        <v/>
      </c>
    </row>
    <row r="413" spans="1:11" x14ac:dyDescent="0.2">
      <c r="A413" s="1">
        <f>IF(COUNTIF($B$2:B413,B413)=1,A412+1,A412)</f>
        <v>13</v>
      </c>
      <c r="B413" s="1" t="s">
        <v>9</v>
      </c>
      <c r="H413" s="1">
        <f>IF(COUNTIF($I$2:I413,I413)=1,H412+1,H412)</f>
        <v>169</v>
      </c>
      <c r="I413" s="1" t="s">
        <v>44</v>
      </c>
      <c r="K413" s="1" t="str">
        <f>IFERROR(VLOOKUP(ROWS($J$2:J413),$H$2:$I$570,2,0),"")</f>
        <v/>
      </c>
    </row>
    <row r="414" spans="1:11" x14ac:dyDescent="0.2">
      <c r="A414" s="1">
        <f>IF(COUNTIF($B$2:B414,B414)=1,A413+1,A413)</f>
        <v>13</v>
      </c>
      <c r="B414" s="1" t="s">
        <v>9</v>
      </c>
      <c r="H414" s="1">
        <f>IF(COUNTIF($I$2:I414,I414)=1,H413+1,H413)</f>
        <v>169</v>
      </c>
      <c r="I414" s="1" t="s">
        <v>44</v>
      </c>
      <c r="K414" s="1" t="str">
        <f>IFERROR(VLOOKUP(ROWS($J$2:J414),$H$2:$I$570,2,0),"")</f>
        <v/>
      </c>
    </row>
    <row r="415" spans="1:11" x14ac:dyDescent="0.2">
      <c r="A415" s="1">
        <f>IF(COUNTIF($B$2:B415,B415)=1,A414+1,A414)</f>
        <v>13</v>
      </c>
      <c r="B415" s="1" t="s">
        <v>9</v>
      </c>
      <c r="H415" s="1">
        <f>IF(COUNTIF($I$2:I415,I415)=1,H414+1,H414)</f>
        <v>169</v>
      </c>
      <c r="I415" s="1" t="s">
        <v>44</v>
      </c>
      <c r="K415" s="1" t="str">
        <f>IFERROR(VLOOKUP(ROWS($J$2:J415),$H$2:$I$570,2,0),"")</f>
        <v/>
      </c>
    </row>
    <row r="416" spans="1:11" x14ac:dyDescent="0.2">
      <c r="A416" s="1">
        <f>IF(COUNTIF($B$2:B416,B416)=1,A415+1,A415)</f>
        <v>13</v>
      </c>
      <c r="B416" s="1" t="s">
        <v>9</v>
      </c>
      <c r="H416" s="1">
        <f>IF(COUNTIF($I$2:I416,I416)=1,H415+1,H415)</f>
        <v>169</v>
      </c>
      <c r="I416" s="1" t="s">
        <v>44</v>
      </c>
      <c r="K416" s="1" t="str">
        <f>IFERROR(VLOOKUP(ROWS($J$2:J416),$H$2:$I$570,2,0),"")</f>
        <v/>
      </c>
    </row>
    <row r="417" spans="1:11" x14ac:dyDescent="0.2">
      <c r="A417" s="1">
        <f>IF(COUNTIF($B$2:B417,B417)=1,A416+1,A416)</f>
        <v>13</v>
      </c>
      <c r="B417" s="1" t="s">
        <v>9</v>
      </c>
      <c r="H417" s="1">
        <f>IF(COUNTIF($I$2:I417,I417)=1,H416+1,H416)</f>
        <v>170</v>
      </c>
      <c r="I417" s="1" t="s">
        <v>114</v>
      </c>
      <c r="K417" s="1" t="str">
        <f>IFERROR(VLOOKUP(ROWS($J$2:J417),$H$2:$I$570,2,0),"")</f>
        <v/>
      </c>
    </row>
    <row r="418" spans="1:11" x14ac:dyDescent="0.2">
      <c r="A418" s="1">
        <f>IF(COUNTIF($B$2:B418,B418)=1,A417+1,A417)</f>
        <v>13</v>
      </c>
      <c r="B418" s="1" t="s">
        <v>9</v>
      </c>
      <c r="H418" s="1">
        <f>IF(COUNTIF($I$2:I418,I418)=1,H417+1,H417)</f>
        <v>170</v>
      </c>
      <c r="I418" s="1" t="s">
        <v>114</v>
      </c>
      <c r="K418" s="1" t="str">
        <f>IFERROR(VLOOKUP(ROWS($J$2:J418),$H$2:$I$570,2,0),"")</f>
        <v/>
      </c>
    </row>
    <row r="419" spans="1:11" x14ac:dyDescent="0.2">
      <c r="A419" s="1">
        <f>IF(COUNTIF($B$2:B419,B419)=1,A418+1,A418)</f>
        <v>13</v>
      </c>
      <c r="B419" s="1" t="s">
        <v>9</v>
      </c>
      <c r="H419" s="1">
        <f>IF(COUNTIF($I$2:I419,I419)=1,H418+1,H418)</f>
        <v>170</v>
      </c>
      <c r="I419" s="1" t="s">
        <v>114</v>
      </c>
      <c r="K419" s="1" t="str">
        <f>IFERROR(VLOOKUP(ROWS($J$2:J419),$H$2:$I$570,2,0),"")</f>
        <v/>
      </c>
    </row>
    <row r="420" spans="1:11" x14ac:dyDescent="0.2">
      <c r="A420" s="1">
        <f>IF(COUNTIF($B$2:B420,B420)=1,A419+1,A419)</f>
        <v>13</v>
      </c>
      <c r="B420" s="1" t="s">
        <v>9</v>
      </c>
      <c r="H420" s="1">
        <f>IF(COUNTIF($I$2:I420,I420)=1,H419+1,H419)</f>
        <v>171</v>
      </c>
      <c r="I420" s="1" t="s">
        <v>187</v>
      </c>
      <c r="K420" s="1" t="str">
        <f>IFERROR(VLOOKUP(ROWS($J$2:J420),$H$2:$I$570,2,0),"")</f>
        <v/>
      </c>
    </row>
    <row r="421" spans="1:11" x14ac:dyDescent="0.2">
      <c r="A421" s="1">
        <f>IF(COUNTIF($B$2:B421,B421)=1,A420+1,A420)</f>
        <v>13</v>
      </c>
      <c r="B421" s="1" t="s">
        <v>9</v>
      </c>
      <c r="H421" s="1">
        <f>IF(COUNTIF($I$2:I421,I421)=1,H420+1,H420)</f>
        <v>171</v>
      </c>
      <c r="I421" s="1" t="s">
        <v>187</v>
      </c>
      <c r="K421" s="1" t="str">
        <f>IFERROR(VLOOKUP(ROWS($J$2:J421),$H$2:$I$570,2,0),"")</f>
        <v/>
      </c>
    </row>
    <row r="422" spans="1:11" x14ac:dyDescent="0.2">
      <c r="A422" s="1">
        <f>IF(COUNTIF($B$2:B422,B422)=1,A421+1,A421)</f>
        <v>13</v>
      </c>
      <c r="B422" s="1" t="s">
        <v>9</v>
      </c>
      <c r="H422" s="1">
        <f>IF(COUNTIF($I$2:I422,I422)=1,H421+1,H421)</f>
        <v>172</v>
      </c>
      <c r="I422" s="1" t="s">
        <v>98</v>
      </c>
      <c r="K422" s="1" t="str">
        <f>IFERROR(VLOOKUP(ROWS($J$2:J422),$H$2:$I$570,2,0),"")</f>
        <v/>
      </c>
    </row>
    <row r="423" spans="1:11" x14ac:dyDescent="0.2">
      <c r="A423" s="1">
        <f>IF(COUNTIF($B$2:B423,B423)=1,A422+1,A422)</f>
        <v>13</v>
      </c>
      <c r="B423" s="1" t="s">
        <v>9</v>
      </c>
      <c r="H423" s="1">
        <f>IF(COUNTIF($I$2:I423,I423)=1,H422+1,H422)</f>
        <v>172</v>
      </c>
      <c r="I423" s="1" t="s">
        <v>98</v>
      </c>
      <c r="K423" s="1" t="str">
        <f>IFERROR(VLOOKUP(ROWS($J$2:J423),$H$2:$I$570,2,0),"")</f>
        <v/>
      </c>
    </row>
    <row r="424" spans="1:11" x14ac:dyDescent="0.2">
      <c r="A424" s="1">
        <f>IF(COUNTIF($B$2:B424,B424)=1,A423+1,A423)</f>
        <v>13</v>
      </c>
      <c r="B424" s="1" t="s">
        <v>9</v>
      </c>
      <c r="H424" s="1">
        <f>IF(COUNTIF($I$2:I424,I424)=1,H423+1,H423)</f>
        <v>172</v>
      </c>
      <c r="I424" s="1" t="s">
        <v>98</v>
      </c>
      <c r="K424" s="1" t="str">
        <f>IFERROR(VLOOKUP(ROWS($J$2:J424),$H$2:$I$570,2,0),"")</f>
        <v/>
      </c>
    </row>
    <row r="425" spans="1:11" x14ac:dyDescent="0.2">
      <c r="A425" s="1">
        <f>IF(COUNTIF($B$2:B425,B425)=1,A424+1,A424)</f>
        <v>13</v>
      </c>
      <c r="B425" s="1" t="s">
        <v>9</v>
      </c>
      <c r="H425" s="1">
        <f>IF(COUNTIF($I$2:I425,I425)=1,H424+1,H424)</f>
        <v>173</v>
      </c>
      <c r="I425" s="1" t="s">
        <v>94</v>
      </c>
      <c r="K425" s="1" t="str">
        <f>IFERROR(VLOOKUP(ROWS($J$2:J425),$H$2:$I$570,2,0),"")</f>
        <v/>
      </c>
    </row>
    <row r="426" spans="1:11" x14ac:dyDescent="0.2">
      <c r="A426" s="1">
        <f>IF(COUNTIF($B$2:B426,B426)=1,A425+1,A425)</f>
        <v>13</v>
      </c>
      <c r="B426" s="1" t="s">
        <v>9</v>
      </c>
      <c r="H426" s="1">
        <f>IF(COUNTIF($I$2:I426,I426)=1,H425+1,H425)</f>
        <v>173</v>
      </c>
      <c r="I426" s="1" t="s">
        <v>94</v>
      </c>
      <c r="K426" s="1" t="str">
        <f>IFERROR(VLOOKUP(ROWS($J$2:J426),$H$2:$I$570,2,0),"")</f>
        <v/>
      </c>
    </row>
    <row r="427" spans="1:11" x14ac:dyDescent="0.2">
      <c r="A427" s="1">
        <f>IF(COUNTIF($B$2:B427,B427)=1,A426+1,A426)</f>
        <v>13</v>
      </c>
      <c r="B427" s="1" t="s">
        <v>9</v>
      </c>
      <c r="H427" s="1">
        <f>IF(COUNTIF($I$2:I427,I427)=1,H426+1,H426)</f>
        <v>173</v>
      </c>
      <c r="I427" s="1" t="s">
        <v>94</v>
      </c>
      <c r="K427" s="1" t="str">
        <f>IFERROR(VLOOKUP(ROWS($J$2:J427),$H$2:$I$570,2,0),"")</f>
        <v/>
      </c>
    </row>
    <row r="428" spans="1:11" x14ac:dyDescent="0.2">
      <c r="A428" s="1">
        <f>IF(COUNTIF($B$2:B428,B428)=1,A427+1,A427)</f>
        <v>13</v>
      </c>
      <c r="B428" s="1" t="s">
        <v>9</v>
      </c>
      <c r="H428" s="1">
        <f>IF(COUNTIF($I$2:I428,I428)=1,H427+1,H427)</f>
        <v>173</v>
      </c>
      <c r="I428" s="1" t="s">
        <v>94</v>
      </c>
      <c r="K428" s="1" t="str">
        <f>IFERROR(VLOOKUP(ROWS($J$2:J428),$H$2:$I$570,2,0),"")</f>
        <v/>
      </c>
    </row>
    <row r="429" spans="1:11" x14ac:dyDescent="0.2">
      <c r="A429" s="1">
        <f>IF(COUNTIF($B$2:B429,B429)=1,A428+1,A428)</f>
        <v>13</v>
      </c>
      <c r="B429" s="1" t="s">
        <v>9</v>
      </c>
      <c r="H429" s="1">
        <f>IF(COUNTIF($I$2:I429,I429)=1,H428+1,H428)</f>
        <v>173</v>
      </c>
      <c r="I429" s="1" t="s">
        <v>94</v>
      </c>
      <c r="K429" s="1" t="str">
        <f>IFERROR(VLOOKUP(ROWS($J$2:J429),$H$2:$I$570,2,0),"")</f>
        <v/>
      </c>
    </row>
    <row r="430" spans="1:11" x14ac:dyDescent="0.2">
      <c r="A430" s="1">
        <f>IF(COUNTIF($B$2:B430,B430)=1,A429+1,A429)</f>
        <v>13</v>
      </c>
      <c r="B430" s="1" t="s">
        <v>9</v>
      </c>
      <c r="H430" s="1">
        <f>IF(COUNTIF($I$2:I430,I430)=1,H429+1,H429)</f>
        <v>174</v>
      </c>
      <c r="I430" s="1" t="s">
        <v>92</v>
      </c>
      <c r="K430" s="1" t="str">
        <f>IFERROR(VLOOKUP(ROWS($J$2:J430),$H$2:$I$570,2,0),"")</f>
        <v/>
      </c>
    </row>
    <row r="431" spans="1:11" x14ac:dyDescent="0.2">
      <c r="A431" s="1">
        <f>IF(COUNTIF($B$2:B431,B431)=1,A430+1,A430)</f>
        <v>13</v>
      </c>
      <c r="B431" s="1" t="s">
        <v>9</v>
      </c>
      <c r="H431" s="1">
        <f>IF(COUNTIF($I$2:I431,I431)=1,H430+1,H430)</f>
        <v>174</v>
      </c>
      <c r="I431" s="1" t="s">
        <v>92</v>
      </c>
      <c r="K431" s="1" t="str">
        <f>IFERROR(VLOOKUP(ROWS($J$2:J431),$H$2:$I$570,2,0),"")</f>
        <v/>
      </c>
    </row>
    <row r="432" spans="1:11" x14ac:dyDescent="0.2">
      <c r="A432" s="1">
        <f>IF(COUNTIF($B$2:B432,B432)=1,A431+1,A431)</f>
        <v>13</v>
      </c>
      <c r="B432" s="1" t="s">
        <v>9</v>
      </c>
      <c r="H432" s="1">
        <f>IF(COUNTIF($I$2:I432,I432)=1,H431+1,H431)</f>
        <v>174</v>
      </c>
      <c r="I432" s="1" t="s">
        <v>92</v>
      </c>
      <c r="K432" s="1" t="str">
        <f>IFERROR(VLOOKUP(ROWS($J$2:J432),$H$2:$I$570,2,0),"")</f>
        <v/>
      </c>
    </row>
    <row r="433" spans="1:11" x14ac:dyDescent="0.2">
      <c r="A433" s="1">
        <f>IF(COUNTIF($B$2:B433,B433)=1,A432+1,A432)</f>
        <v>13</v>
      </c>
      <c r="B433" s="1" t="s">
        <v>9</v>
      </c>
      <c r="H433" s="1">
        <f>IF(COUNTIF($I$2:I433,I433)=1,H432+1,H432)</f>
        <v>175</v>
      </c>
      <c r="I433" s="1" t="s">
        <v>130</v>
      </c>
      <c r="K433" s="1" t="str">
        <f>IFERROR(VLOOKUP(ROWS($J$2:J433),$H$2:$I$570,2,0),"")</f>
        <v/>
      </c>
    </row>
    <row r="434" spans="1:11" x14ac:dyDescent="0.2">
      <c r="A434" s="1">
        <f>IF(COUNTIF($B$2:B434,B434)=1,A433+1,A433)</f>
        <v>13</v>
      </c>
      <c r="B434" s="1" t="s">
        <v>9</v>
      </c>
      <c r="H434" s="1">
        <f>IF(COUNTIF($I$2:I434,I434)=1,H433+1,H433)</f>
        <v>175</v>
      </c>
      <c r="I434" s="1" t="s">
        <v>130</v>
      </c>
      <c r="K434" s="1" t="str">
        <f>IFERROR(VLOOKUP(ROWS($J$2:J434),$H$2:$I$570,2,0),"")</f>
        <v/>
      </c>
    </row>
    <row r="435" spans="1:11" x14ac:dyDescent="0.2">
      <c r="A435" s="1">
        <f>IF(COUNTIF($B$2:B435,B435)=1,A434+1,A434)</f>
        <v>13</v>
      </c>
      <c r="B435" s="1" t="s">
        <v>9</v>
      </c>
      <c r="H435" s="1">
        <f>IF(COUNTIF($I$2:I435,I435)=1,H434+1,H434)</f>
        <v>176</v>
      </c>
      <c r="I435" s="1" t="s">
        <v>90</v>
      </c>
      <c r="K435" s="1" t="str">
        <f>IFERROR(VLOOKUP(ROWS($J$2:J435),$H$2:$I$570,2,0),"")</f>
        <v/>
      </c>
    </row>
    <row r="436" spans="1:11" x14ac:dyDescent="0.2">
      <c r="A436" s="1">
        <f>IF(COUNTIF($B$2:B436,B436)=1,A435+1,A435)</f>
        <v>13</v>
      </c>
      <c r="B436" s="1" t="s">
        <v>9</v>
      </c>
      <c r="H436" s="1">
        <f>IF(COUNTIF($I$2:I436,I436)=1,H435+1,H435)</f>
        <v>176</v>
      </c>
      <c r="I436" s="1" t="s">
        <v>90</v>
      </c>
      <c r="K436" s="1" t="str">
        <f>IFERROR(VLOOKUP(ROWS($J$2:J436),$H$2:$I$570,2,0),"")</f>
        <v/>
      </c>
    </row>
    <row r="437" spans="1:11" x14ac:dyDescent="0.2">
      <c r="A437" s="1">
        <f>IF(COUNTIF($B$2:B437,B437)=1,A436+1,A436)</f>
        <v>13</v>
      </c>
      <c r="B437" s="1" t="s">
        <v>9</v>
      </c>
      <c r="H437" s="1">
        <f>IF(COUNTIF($I$2:I437,I437)=1,H436+1,H436)</f>
        <v>176</v>
      </c>
      <c r="I437" s="1" t="s">
        <v>90</v>
      </c>
      <c r="K437" s="1" t="str">
        <f>IFERROR(VLOOKUP(ROWS($J$2:J437),$H$2:$I$570,2,0),"")</f>
        <v/>
      </c>
    </row>
    <row r="438" spans="1:11" x14ac:dyDescent="0.2">
      <c r="A438" s="1">
        <f>IF(COUNTIF($B$2:B438,B438)=1,A437+1,A437)</f>
        <v>13</v>
      </c>
      <c r="B438" s="1" t="s">
        <v>9</v>
      </c>
      <c r="H438" s="1">
        <f>IF(COUNTIF($I$2:I438,I438)=1,H437+1,H437)</f>
        <v>176</v>
      </c>
      <c r="I438" s="1" t="s">
        <v>90</v>
      </c>
      <c r="K438" s="1" t="str">
        <f>IFERROR(VLOOKUP(ROWS($J$2:J438),$H$2:$I$570,2,0),"")</f>
        <v/>
      </c>
    </row>
    <row r="439" spans="1:11" x14ac:dyDescent="0.2">
      <c r="A439" s="1">
        <f>IF(COUNTIF($B$2:B439,B439)=1,A438+1,A438)</f>
        <v>13</v>
      </c>
      <c r="B439" s="1" t="s">
        <v>9</v>
      </c>
      <c r="H439" s="1">
        <f>IF(COUNTIF($I$2:I439,I439)=1,H438+1,H438)</f>
        <v>176</v>
      </c>
      <c r="I439" s="1" t="s">
        <v>90</v>
      </c>
      <c r="K439" s="1" t="str">
        <f>IFERROR(VLOOKUP(ROWS($J$2:J439),$H$2:$I$570,2,0),"")</f>
        <v/>
      </c>
    </row>
    <row r="440" spans="1:11" x14ac:dyDescent="0.2">
      <c r="A440" s="1">
        <f>IF(COUNTIF($B$2:B440,B440)=1,A439+1,A439)</f>
        <v>13</v>
      </c>
      <c r="B440" s="1" t="s">
        <v>9</v>
      </c>
      <c r="H440" s="1">
        <f>IF(COUNTIF($I$2:I440,I440)=1,H439+1,H439)</f>
        <v>177</v>
      </c>
      <c r="I440" s="1" t="s">
        <v>113</v>
      </c>
      <c r="K440" s="1" t="str">
        <f>IFERROR(VLOOKUP(ROWS($J$2:J440),$H$2:$I$570,2,0),"")</f>
        <v/>
      </c>
    </row>
    <row r="441" spans="1:11" x14ac:dyDescent="0.2">
      <c r="A441" s="1">
        <f>IF(COUNTIF($B$2:B441,B441)=1,A440+1,A440)</f>
        <v>13</v>
      </c>
      <c r="B441" s="1" t="s">
        <v>9</v>
      </c>
      <c r="H441" s="1">
        <f>IF(COUNTIF($I$2:I441,I441)=1,H440+1,H440)</f>
        <v>177</v>
      </c>
      <c r="I441" s="1" t="s">
        <v>113</v>
      </c>
      <c r="K441" s="1" t="str">
        <f>IFERROR(VLOOKUP(ROWS($J$2:J441),$H$2:$I$570,2,0),"")</f>
        <v/>
      </c>
    </row>
    <row r="442" spans="1:11" x14ac:dyDescent="0.2">
      <c r="A442" s="1">
        <f>IF(COUNTIF($B$2:B442,B442)=1,A441+1,A441)</f>
        <v>13</v>
      </c>
      <c r="B442" s="1" t="s">
        <v>9</v>
      </c>
      <c r="H442" s="1">
        <f>IF(COUNTIF($I$2:I442,I442)=1,H441+1,H441)</f>
        <v>177</v>
      </c>
      <c r="I442" s="1" t="s">
        <v>113</v>
      </c>
      <c r="K442" s="1" t="str">
        <f>IFERROR(VLOOKUP(ROWS($J$2:J442),$H$2:$I$570,2,0),"")</f>
        <v/>
      </c>
    </row>
    <row r="443" spans="1:11" x14ac:dyDescent="0.2">
      <c r="A443" s="1">
        <f>IF(COUNTIF($B$2:B443,B443)=1,A442+1,A442)</f>
        <v>13</v>
      </c>
      <c r="B443" s="1" t="s">
        <v>9</v>
      </c>
      <c r="H443" s="1">
        <f>IF(COUNTIF($I$2:I443,I443)=1,H442+1,H442)</f>
        <v>177</v>
      </c>
      <c r="I443" s="1" t="s">
        <v>113</v>
      </c>
      <c r="K443" s="1" t="str">
        <f>IFERROR(VLOOKUP(ROWS($J$2:J443),$H$2:$I$570,2,0),"")</f>
        <v/>
      </c>
    </row>
    <row r="444" spans="1:11" x14ac:dyDescent="0.2">
      <c r="A444" s="1">
        <f>IF(COUNTIF($B$2:B444,B444)=1,A443+1,A443)</f>
        <v>13</v>
      </c>
      <c r="B444" s="1" t="s">
        <v>9</v>
      </c>
      <c r="H444" s="1">
        <f>IF(COUNTIF($I$2:I444,I444)=1,H443+1,H443)</f>
        <v>178</v>
      </c>
      <c r="I444" s="1" t="s">
        <v>93</v>
      </c>
      <c r="K444" s="1" t="str">
        <f>IFERROR(VLOOKUP(ROWS($J$2:J444),$H$2:$I$570,2,0),"")</f>
        <v/>
      </c>
    </row>
    <row r="445" spans="1:11" x14ac:dyDescent="0.2">
      <c r="A445" s="1">
        <f>IF(COUNTIF($B$2:B445,B445)=1,A444+1,A444)</f>
        <v>13</v>
      </c>
      <c r="B445" s="1" t="s">
        <v>11</v>
      </c>
      <c r="H445" s="1">
        <f>IF(COUNTIF($I$2:I445,I445)=1,H444+1,H444)</f>
        <v>178</v>
      </c>
      <c r="I445" s="1" t="s">
        <v>93</v>
      </c>
      <c r="K445" s="1" t="str">
        <f>IFERROR(VLOOKUP(ROWS($J$2:J445),$H$2:$I$570,2,0),"")</f>
        <v/>
      </c>
    </row>
    <row r="446" spans="1:11" x14ac:dyDescent="0.2">
      <c r="A446" s="1">
        <f>IF(COUNTIF($B$2:B446,B446)=1,A445+1,A445)</f>
        <v>13</v>
      </c>
      <c r="B446" s="1" t="s">
        <v>11</v>
      </c>
      <c r="H446" s="1">
        <f>IF(COUNTIF($I$2:I446,I446)=1,H445+1,H445)</f>
        <v>178</v>
      </c>
      <c r="I446" s="1" t="s">
        <v>93</v>
      </c>
      <c r="K446" s="1" t="str">
        <f>IFERROR(VLOOKUP(ROWS($J$2:J446),$H$2:$I$570,2,0),"")</f>
        <v/>
      </c>
    </row>
    <row r="447" spans="1:11" x14ac:dyDescent="0.2">
      <c r="A447" s="1">
        <f>IF(COUNTIF($B$2:B447,B447)=1,A446+1,A446)</f>
        <v>13</v>
      </c>
      <c r="B447" s="1" t="s">
        <v>8</v>
      </c>
      <c r="H447" s="1">
        <f>IF(COUNTIF($I$2:I447,I447)=1,H446+1,H446)</f>
        <v>178</v>
      </c>
      <c r="I447" s="1" t="s">
        <v>93</v>
      </c>
      <c r="K447" s="1" t="str">
        <f>IFERROR(VLOOKUP(ROWS($J$2:J447),$H$2:$I$570,2,0),"")</f>
        <v/>
      </c>
    </row>
    <row r="448" spans="1:11" x14ac:dyDescent="0.2">
      <c r="A448" s="1">
        <f>IF(COUNTIF($B$2:B448,B448)=1,A447+1,A447)</f>
        <v>13</v>
      </c>
      <c r="B448" s="1" t="s">
        <v>4</v>
      </c>
      <c r="H448" s="1">
        <f>IF(COUNTIF($I$2:I448,I448)=1,H447+1,H447)</f>
        <v>179</v>
      </c>
      <c r="I448" s="1" t="s">
        <v>108</v>
      </c>
      <c r="K448" s="1" t="str">
        <f>IFERROR(VLOOKUP(ROWS($J$2:J448),$H$2:$I$570,2,0),"")</f>
        <v/>
      </c>
    </row>
    <row r="449" spans="1:11" x14ac:dyDescent="0.2">
      <c r="A449" s="1">
        <f>IF(COUNTIF($B$2:B449,B449)=1,A448+1,A448)</f>
        <v>13</v>
      </c>
      <c r="B449" s="1" t="s">
        <v>11</v>
      </c>
      <c r="H449" s="1">
        <f>IF(COUNTIF($I$2:I449,I449)=1,H448+1,H448)</f>
        <v>179</v>
      </c>
      <c r="I449" s="1" t="s">
        <v>108</v>
      </c>
      <c r="K449" s="1" t="str">
        <f>IFERROR(VLOOKUP(ROWS($J$2:J449),$H$2:$I$570,2,0),"")</f>
        <v/>
      </c>
    </row>
    <row r="450" spans="1:11" x14ac:dyDescent="0.2">
      <c r="A450" s="1">
        <f>IF(COUNTIF($B$2:B450,B450)=1,A449+1,A449)</f>
        <v>13</v>
      </c>
      <c r="B450" s="1" t="s">
        <v>8</v>
      </c>
      <c r="H450" s="1">
        <f>IF(COUNTIF($I$2:I450,I450)=1,H449+1,H449)</f>
        <v>179</v>
      </c>
      <c r="I450" s="1" t="s">
        <v>108</v>
      </c>
      <c r="K450" s="1" t="str">
        <f>IFERROR(VLOOKUP(ROWS($J$2:J450),$H$2:$I$570,2,0),"")</f>
        <v/>
      </c>
    </row>
    <row r="451" spans="1:11" x14ac:dyDescent="0.2">
      <c r="A451" s="1">
        <f>IF(COUNTIF($B$2:B451,B451)=1,A450+1,A450)</f>
        <v>13</v>
      </c>
      <c r="B451" s="1" t="s">
        <v>8</v>
      </c>
      <c r="H451" s="1">
        <f>IF(COUNTIF($I$2:I451,I451)=1,H450+1,H450)</f>
        <v>180</v>
      </c>
      <c r="I451" s="1" t="s">
        <v>55</v>
      </c>
      <c r="K451" s="1" t="str">
        <f>IFERROR(VLOOKUP(ROWS($J$2:J451),$H$2:$I$570,2,0),"")</f>
        <v/>
      </c>
    </row>
    <row r="452" spans="1:11" x14ac:dyDescent="0.2">
      <c r="A452" s="1">
        <f>IF(COUNTIF($B$2:B452,B452)=1,A451+1,A451)</f>
        <v>13</v>
      </c>
      <c r="B452" s="1" t="s">
        <v>8</v>
      </c>
      <c r="H452" s="1">
        <f>IF(COUNTIF($I$2:I452,I452)=1,H451+1,H451)</f>
        <v>180</v>
      </c>
      <c r="I452" s="1" t="s">
        <v>55</v>
      </c>
      <c r="K452" s="1" t="str">
        <f>IFERROR(VLOOKUP(ROWS($J$2:J452),$H$2:$I$570,2,0),"")</f>
        <v/>
      </c>
    </row>
    <row r="453" spans="1:11" x14ac:dyDescent="0.2">
      <c r="A453" s="1">
        <f>IF(COUNTIF($B$2:B453,B453)=1,A452+1,A452)</f>
        <v>13</v>
      </c>
      <c r="B453" s="1" t="s">
        <v>8</v>
      </c>
      <c r="H453" s="1">
        <f>IF(COUNTIF($I$2:I453,I453)=1,H452+1,H452)</f>
        <v>180</v>
      </c>
      <c r="I453" s="1" t="s">
        <v>55</v>
      </c>
      <c r="K453" s="1" t="str">
        <f>IFERROR(VLOOKUP(ROWS($J$2:J453),$H$2:$I$570,2,0),"")</f>
        <v/>
      </c>
    </row>
    <row r="454" spans="1:11" x14ac:dyDescent="0.2">
      <c r="A454" s="1">
        <f>IF(COUNTIF($B$2:B454,B454)=1,A453+1,A453)</f>
        <v>13</v>
      </c>
      <c r="B454" s="1" t="s">
        <v>8</v>
      </c>
      <c r="H454" s="1">
        <f>IF(COUNTIF($I$2:I454,I454)=1,H453+1,H453)</f>
        <v>180</v>
      </c>
      <c r="I454" s="1" t="s">
        <v>55</v>
      </c>
      <c r="K454" s="1" t="str">
        <f>IFERROR(VLOOKUP(ROWS($J$2:J454),$H$2:$I$570,2,0),"")</f>
        <v/>
      </c>
    </row>
    <row r="455" spans="1:11" x14ac:dyDescent="0.2">
      <c r="A455" s="1">
        <f>IF(COUNTIF($B$2:B455,B455)=1,A454+1,A454)</f>
        <v>13</v>
      </c>
      <c r="B455" s="1" t="s">
        <v>9</v>
      </c>
      <c r="H455" s="1">
        <f>IF(COUNTIF($I$2:I455,I455)=1,H454+1,H454)</f>
        <v>180</v>
      </c>
      <c r="I455" s="1" t="s">
        <v>55</v>
      </c>
      <c r="K455" s="1" t="str">
        <f>IFERROR(VLOOKUP(ROWS($J$2:J455),$H$2:$I$570,2,0),"")</f>
        <v/>
      </c>
    </row>
    <row r="456" spans="1:11" x14ac:dyDescent="0.2">
      <c r="A456" s="1">
        <f>IF(COUNTIF($B$2:B456,B456)=1,A455+1,A455)</f>
        <v>13</v>
      </c>
      <c r="B456" s="1" t="s">
        <v>9</v>
      </c>
      <c r="H456" s="1">
        <f>IF(COUNTIF($I$2:I456,I456)=1,H455+1,H455)</f>
        <v>181</v>
      </c>
      <c r="I456" s="1" t="s">
        <v>97</v>
      </c>
      <c r="K456" s="1" t="str">
        <f>IFERROR(VLOOKUP(ROWS($J$2:J456),$H$2:$I$570,2,0),"")</f>
        <v/>
      </c>
    </row>
    <row r="457" spans="1:11" x14ac:dyDescent="0.2">
      <c r="A457" s="1">
        <f>IF(COUNTIF($B$2:B457,B457)=1,A456+1,A456)</f>
        <v>13</v>
      </c>
      <c r="B457" s="1" t="s">
        <v>9</v>
      </c>
      <c r="H457" s="1">
        <f>IF(COUNTIF($I$2:I457,I457)=1,H456+1,H456)</f>
        <v>181</v>
      </c>
      <c r="I457" s="1" t="s">
        <v>97</v>
      </c>
      <c r="K457" s="1" t="str">
        <f>IFERROR(VLOOKUP(ROWS($J$2:J457),$H$2:$I$570,2,0),"")</f>
        <v/>
      </c>
    </row>
    <row r="458" spans="1:11" x14ac:dyDescent="0.2">
      <c r="A458" s="1">
        <f>IF(COUNTIF($B$2:B458,B458)=1,A457+1,A457)</f>
        <v>13</v>
      </c>
      <c r="B458" s="1" t="s">
        <v>9</v>
      </c>
      <c r="H458" s="1">
        <f>IF(COUNTIF($I$2:I458,I458)=1,H457+1,H457)</f>
        <v>181</v>
      </c>
      <c r="I458" s="1" t="s">
        <v>97</v>
      </c>
      <c r="K458" s="1" t="str">
        <f>IFERROR(VLOOKUP(ROWS($J$2:J458),$H$2:$I$570,2,0),"")</f>
        <v/>
      </c>
    </row>
    <row r="459" spans="1:11" x14ac:dyDescent="0.2">
      <c r="A459" s="1">
        <f>IF(COUNTIF($B$2:B459,B459)=1,A458+1,A458)</f>
        <v>13</v>
      </c>
      <c r="B459" s="1" t="s">
        <v>9</v>
      </c>
      <c r="H459" s="1">
        <f>IF(COUNTIF($I$2:I459,I459)=1,H458+1,H458)</f>
        <v>182</v>
      </c>
      <c r="I459" s="1" t="s">
        <v>126</v>
      </c>
      <c r="K459" s="1" t="str">
        <f>IFERROR(VLOOKUP(ROWS($J$2:J459),$H$2:$I$570,2,0),"")</f>
        <v/>
      </c>
    </row>
    <row r="460" spans="1:11" x14ac:dyDescent="0.2">
      <c r="A460" s="1">
        <f>IF(COUNTIF($B$2:B460,B460)=1,A459+1,A459)</f>
        <v>13</v>
      </c>
      <c r="B460" s="1" t="s">
        <v>9</v>
      </c>
      <c r="H460" s="1">
        <f>IF(COUNTIF($I$2:I460,I460)=1,H459+1,H459)</f>
        <v>182</v>
      </c>
      <c r="I460" s="1" t="s">
        <v>126</v>
      </c>
      <c r="K460" s="1" t="str">
        <f>IFERROR(VLOOKUP(ROWS($J$2:J460),$H$2:$I$570,2,0),"")</f>
        <v/>
      </c>
    </row>
    <row r="461" spans="1:11" x14ac:dyDescent="0.2">
      <c r="A461" s="1">
        <f>IF(COUNTIF($B$2:B461,B461)=1,A460+1,A460)</f>
        <v>13</v>
      </c>
      <c r="B461" s="1" t="s">
        <v>11</v>
      </c>
      <c r="H461" s="1">
        <f>IF(COUNTIF($I$2:I461,I461)=1,H460+1,H460)</f>
        <v>182</v>
      </c>
      <c r="I461" s="1" t="s">
        <v>126</v>
      </c>
      <c r="K461" s="1" t="str">
        <f>IFERROR(VLOOKUP(ROWS($J$2:J461),$H$2:$I$570,2,0),"")</f>
        <v/>
      </c>
    </row>
    <row r="462" spans="1:11" x14ac:dyDescent="0.2">
      <c r="A462" s="1">
        <f>IF(COUNTIF($B$2:B462,B462)=1,A461+1,A461)</f>
        <v>13</v>
      </c>
      <c r="B462" s="1" t="s">
        <v>6</v>
      </c>
      <c r="H462" s="1">
        <f>IF(COUNTIF($I$2:I462,I462)=1,H461+1,H461)</f>
        <v>182</v>
      </c>
      <c r="I462" s="1" t="s">
        <v>126</v>
      </c>
      <c r="K462" s="1" t="str">
        <f>IFERROR(VLOOKUP(ROWS($J$2:J462),$H$2:$I$570,2,0),"")</f>
        <v/>
      </c>
    </row>
    <row r="463" spans="1:11" x14ac:dyDescent="0.2">
      <c r="A463" s="1">
        <f>IF(COUNTIF($B$2:B463,B463)=1,A462+1,A462)</f>
        <v>13</v>
      </c>
      <c r="B463" s="1" t="s">
        <v>9</v>
      </c>
      <c r="H463" s="1">
        <f>IF(COUNTIF($I$2:I463,I463)=1,H462+1,H462)</f>
        <v>183</v>
      </c>
      <c r="I463" s="1" t="s">
        <v>193</v>
      </c>
      <c r="K463" s="1" t="str">
        <f>IFERROR(VLOOKUP(ROWS($J$2:J463),$H$2:$I$570,2,0),"")</f>
        <v/>
      </c>
    </row>
    <row r="464" spans="1:11" x14ac:dyDescent="0.2">
      <c r="A464" s="1">
        <f>IF(COUNTIF($B$2:B464,B464)=1,A463+1,A463)</f>
        <v>13</v>
      </c>
      <c r="B464" s="1" t="s">
        <v>9</v>
      </c>
      <c r="H464" s="1">
        <f>IF(COUNTIF($I$2:I464,I464)=1,H463+1,H463)</f>
        <v>183</v>
      </c>
      <c r="I464" s="1" t="s">
        <v>193</v>
      </c>
      <c r="K464" s="1" t="str">
        <f>IFERROR(VLOOKUP(ROWS($J$2:J464),$H$2:$I$570,2,0),"")</f>
        <v/>
      </c>
    </row>
    <row r="465" spans="1:11" x14ac:dyDescent="0.2">
      <c r="A465" s="1">
        <f>IF(COUNTIF($B$2:B465,B465)=1,A464+1,A464)</f>
        <v>13</v>
      </c>
      <c r="B465" s="1" t="s">
        <v>9</v>
      </c>
      <c r="H465" s="1">
        <f>IF(COUNTIF($I$2:I465,I465)=1,H464+1,H464)</f>
        <v>184</v>
      </c>
      <c r="I465" s="1" t="s">
        <v>154</v>
      </c>
      <c r="K465" s="1" t="str">
        <f>IFERROR(VLOOKUP(ROWS($J$2:J465),$H$2:$I$570,2,0),"")</f>
        <v/>
      </c>
    </row>
    <row r="466" spans="1:11" x14ac:dyDescent="0.2">
      <c r="A466" s="1">
        <f>IF(COUNTIF($B$2:B466,B466)=1,A465+1,A465)</f>
        <v>13</v>
      </c>
      <c r="B466" s="1" t="s">
        <v>4</v>
      </c>
      <c r="H466" s="1">
        <f>IF(COUNTIF($I$2:I466,I466)=1,H465+1,H465)</f>
        <v>185</v>
      </c>
      <c r="I466" s="1" t="s">
        <v>101</v>
      </c>
      <c r="K466" s="1" t="str">
        <f>IFERROR(VLOOKUP(ROWS($J$2:J466),$H$2:$I$570,2,0),"")</f>
        <v/>
      </c>
    </row>
    <row r="467" spans="1:11" x14ac:dyDescent="0.2">
      <c r="A467" s="1">
        <f>IF(COUNTIF($B$2:B467,B467)=1,A466+1,A466)</f>
        <v>13</v>
      </c>
      <c r="B467" s="1" t="s">
        <v>8</v>
      </c>
      <c r="H467" s="1">
        <f>IF(COUNTIF($I$2:I467,I467)=1,H466+1,H466)</f>
        <v>185</v>
      </c>
      <c r="I467" s="1" t="s">
        <v>101</v>
      </c>
      <c r="K467" s="1" t="str">
        <f>IFERROR(VLOOKUP(ROWS($J$2:J467),$H$2:$I$570,2,0),"")</f>
        <v/>
      </c>
    </row>
    <row r="468" spans="1:11" x14ac:dyDescent="0.2">
      <c r="A468" s="1">
        <f>IF(COUNTIF($B$2:B468,B468)=1,A467+1,A467)</f>
        <v>13</v>
      </c>
      <c r="B468" s="1" t="s">
        <v>11</v>
      </c>
      <c r="H468" s="1">
        <f>IF(COUNTIF($I$2:I468,I468)=1,H467+1,H467)</f>
        <v>186</v>
      </c>
      <c r="I468" s="1" t="s">
        <v>224</v>
      </c>
      <c r="K468" s="1" t="str">
        <f>IFERROR(VLOOKUP(ROWS($J$2:J468),$H$2:$I$570,2,0),"")</f>
        <v/>
      </c>
    </row>
    <row r="469" spans="1:11" x14ac:dyDescent="0.2">
      <c r="A469" s="1">
        <f>IF(COUNTIF($B$2:B469,B469)=1,A468+1,A468)</f>
        <v>13</v>
      </c>
      <c r="B469" s="1" t="s">
        <v>11</v>
      </c>
      <c r="H469" s="1">
        <f>IF(COUNTIF($I$2:I469,I469)=1,H468+1,H468)</f>
        <v>187</v>
      </c>
      <c r="I469" s="1" t="s">
        <v>197</v>
      </c>
      <c r="K469" s="1" t="str">
        <f>IFERROR(VLOOKUP(ROWS($J$2:J469),$H$2:$I$570,2,0),"")</f>
        <v/>
      </c>
    </row>
    <row r="470" spans="1:11" x14ac:dyDescent="0.2">
      <c r="A470" s="1">
        <f>IF(COUNTIF($B$2:B470,B470)=1,A469+1,A469)</f>
        <v>13</v>
      </c>
      <c r="B470" s="1" t="s">
        <v>8</v>
      </c>
      <c r="H470" s="1">
        <f>IF(COUNTIF($I$2:I470,I470)=1,H469+1,H469)</f>
        <v>188</v>
      </c>
      <c r="I470" s="1" t="s">
        <v>163</v>
      </c>
      <c r="K470" s="1" t="str">
        <f>IFERROR(VLOOKUP(ROWS($J$2:J470),$H$2:$I$570,2,0),"")</f>
        <v/>
      </c>
    </row>
    <row r="471" spans="1:11" x14ac:dyDescent="0.2">
      <c r="A471" s="1">
        <f>IF(COUNTIF($B$2:B471,B471)=1,A470+1,A470)</f>
        <v>13</v>
      </c>
      <c r="B471" s="1" t="s">
        <v>8</v>
      </c>
      <c r="H471" s="1">
        <f>IF(COUNTIF($I$2:I471,I471)=1,H470+1,H470)</f>
        <v>188</v>
      </c>
      <c r="I471" s="1" t="s">
        <v>163</v>
      </c>
      <c r="K471" s="1" t="str">
        <f>IFERROR(VLOOKUP(ROWS($J$2:J471),$H$2:$I$570,2,0),"")</f>
        <v/>
      </c>
    </row>
    <row r="472" spans="1:11" x14ac:dyDescent="0.2">
      <c r="A472" s="1">
        <f>IF(COUNTIF($B$2:B472,B472)=1,A471+1,A471)</f>
        <v>13</v>
      </c>
      <c r="B472" s="1" t="s">
        <v>11</v>
      </c>
      <c r="H472" s="1">
        <f>IF(COUNTIF($I$2:I472,I472)=1,H471+1,H471)</f>
        <v>189</v>
      </c>
      <c r="I472" s="1" t="s">
        <v>133</v>
      </c>
      <c r="K472" s="1" t="str">
        <f>IFERROR(VLOOKUP(ROWS($J$2:J472),$H$2:$I$570,2,0),"")</f>
        <v/>
      </c>
    </row>
    <row r="473" spans="1:11" x14ac:dyDescent="0.2">
      <c r="A473" s="1">
        <f>IF(COUNTIF($B$2:B473,B473)=1,A472+1,A472)</f>
        <v>13</v>
      </c>
      <c r="B473" s="1" t="s">
        <v>11</v>
      </c>
      <c r="H473" s="1">
        <f>IF(COUNTIF($I$2:I473,I473)=1,H472+1,H472)</f>
        <v>189</v>
      </c>
      <c r="I473" s="1" t="s">
        <v>133</v>
      </c>
      <c r="K473" s="1" t="str">
        <f>IFERROR(VLOOKUP(ROWS($J$2:J473),$H$2:$I$570,2,0),"")</f>
        <v/>
      </c>
    </row>
    <row r="474" spans="1:11" x14ac:dyDescent="0.2">
      <c r="A474" s="1">
        <f>IF(COUNTIF($B$2:B474,B474)=1,A473+1,A473)</f>
        <v>13</v>
      </c>
      <c r="B474" s="1" t="s">
        <v>8</v>
      </c>
      <c r="H474" s="1">
        <f>IF(COUNTIF($I$2:I474,I474)=1,H473+1,H473)</f>
        <v>189</v>
      </c>
      <c r="I474" s="1" t="s">
        <v>133</v>
      </c>
      <c r="K474" s="1" t="str">
        <f>IFERROR(VLOOKUP(ROWS($J$2:J474),$H$2:$I$570,2,0),"")</f>
        <v/>
      </c>
    </row>
    <row r="475" spans="1:11" x14ac:dyDescent="0.2">
      <c r="A475" s="1">
        <f>IF(COUNTIF($B$2:B475,B475)=1,A474+1,A474)</f>
        <v>13</v>
      </c>
      <c r="B475" s="1" t="s">
        <v>12</v>
      </c>
      <c r="H475" s="1">
        <f>IF(COUNTIF($I$2:I475,I475)=1,H474+1,H474)</f>
        <v>190</v>
      </c>
      <c r="I475" s="1" t="s">
        <v>196</v>
      </c>
      <c r="K475" s="1" t="str">
        <f>IFERROR(VLOOKUP(ROWS($J$2:J475),$H$2:$I$570,2,0),"")</f>
        <v/>
      </c>
    </row>
    <row r="476" spans="1:11" x14ac:dyDescent="0.2">
      <c r="A476" s="1">
        <f>IF(COUNTIF($B$2:B476,B476)=1,A475+1,A475)</f>
        <v>13</v>
      </c>
      <c r="B476" s="1" t="s">
        <v>11</v>
      </c>
      <c r="H476" s="1">
        <f>IF(COUNTIF($I$2:I476,I476)=1,H475+1,H475)</f>
        <v>190</v>
      </c>
      <c r="I476" s="1" t="s">
        <v>196</v>
      </c>
      <c r="K476" s="1" t="str">
        <f>IFERROR(VLOOKUP(ROWS($J$2:J476),$H$2:$I$570,2,0),"")</f>
        <v/>
      </c>
    </row>
    <row r="477" spans="1:11" x14ac:dyDescent="0.2">
      <c r="A477" s="1">
        <f>IF(COUNTIF($B$2:B477,B477)=1,A476+1,A476)</f>
        <v>13</v>
      </c>
      <c r="B477" s="1" t="s">
        <v>8</v>
      </c>
      <c r="H477" s="1">
        <f>IF(COUNTIF($I$2:I477,I477)=1,H476+1,H476)</f>
        <v>191</v>
      </c>
      <c r="I477" s="1" t="s">
        <v>230</v>
      </c>
      <c r="K477" s="1" t="str">
        <f>IFERROR(VLOOKUP(ROWS($J$2:J477),$H$2:$I$570,2,0),"")</f>
        <v/>
      </c>
    </row>
    <row r="478" spans="1:11" x14ac:dyDescent="0.2">
      <c r="A478" s="1">
        <f>IF(COUNTIF($B$2:B478,B478)=1,A477+1,A477)</f>
        <v>13</v>
      </c>
      <c r="B478" s="1" t="s">
        <v>16</v>
      </c>
      <c r="H478" s="1">
        <f>IF(COUNTIF($I$2:I478,I478)=1,H477+1,H477)</f>
        <v>192</v>
      </c>
      <c r="I478" s="1" t="s">
        <v>106</v>
      </c>
      <c r="K478" s="1" t="str">
        <f>IFERROR(VLOOKUP(ROWS($J$2:J478),$H$2:$I$570,2,0),"")</f>
        <v/>
      </c>
    </row>
    <row r="479" spans="1:11" x14ac:dyDescent="0.2">
      <c r="A479" s="1">
        <f>IF(COUNTIF($B$2:B479,B479)=1,A478+1,A478)</f>
        <v>13</v>
      </c>
      <c r="B479" s="1" t="s">
        <v>11</v>
      </c>
      <c r="H479" s="1">
        <f>IF(COUNTIF($I$2:I479,I479)=1,H478+1,H478)</f>
        <v>192</v>
      </c>
      <c r="I479" s="1" t="s">
        <v>106</v>
      </c>
      <c r="K479" s="1" t="str">
        <f>IFERROR(VLOOKUP(ROWS($J$2:J479),$H$2:$I$570,2,0),"")</f>
        <v/>
      </c>
    </row>
    <row r="480" spans="1:11" x14ac:dyDescent="0.2">
      <c r="A480" s="1">
        <f>IF(COUNTIF($B$2:B480,B480)=1,A479+1,A479)</f>
        <v>13</v>
      </c>
      <c r="B480" s="1" t="s">
        <v>9</v>
      </c>
      <c r="H480" s="1">
        <f>IF(COUNTIF($I$2:I480,I480)=1,H479+1,H479)</f>
        <v>192</v>
      </c>
      <c r="I480" s="1" t="s">
        <v>106</v>
      </c>
      <c r="K480" s="1" t="str">
        <f>IFERROR(VLOOKUP(ROWS($J$2:J480),$H$2:$I$570,2,0),"")</f>
        <v/>
      </c>
    </row>
    <row r="481" spans="1:11" x14ac:dyDescent="0.2">
      <c r="A481" s="1">
        <f>IF(COUNTIF($B$2:B481,B481)=1,A480+1,A480)</f>
        <v>13</v>
      </c>
      <c r="B481" s="1" t="s">
        <v>9</v>
      </c>
      <c r="H481" s="1">
        <f>IF(COUNTIF($I$2:I481,I481)=1,H480+1,H480)</f>
        <v>193</v>
      </c>
      <c r="I481" s="1" t="s">
        <v>179</v>
      </c>
      <c r="K481" s="1" t="str">
        <f>IFERROR(VLOOKUP(ROWS($J$2:J481),$H$2:$I$570,2,0),"")</f>
        <v/>
      </c>
    </row>
    <row r="482" spans="1:11" x14ac:dyDescent="0.2">
      <c r="A482" s="1">
        <f>IF(COUNTIF($B$2:B482,B482)=1,A481+1,A481)</f>
        <v>13</v>
      </c>
      <c r="B482" s="1" t="s">
        <v>8</v>
      </c>
      <c r="H482" s="1">
        <f>IF(COUNTIF($I$2:I482,I482)=1,H481+1,H481)</f>
        <v>193</v>
      </c>
      <c r="I482" s="1" t="s">
        <v>179</v>
      </c>
      <c r="K482" s="1" t="str">
        <f>IFERROR(VLOOKUP(ROWS($J$2:J482),$H$2:$I$570,2,0),"")</f>
        <v/>
      </c>
    </row>
    <row r="483" spans="1:11" x14ac:dyDescent="0.2">
      <c r="A483" s="1">
        <f>IF(COUNTIF($B$2:B483,B483)=1,A482+1,A482)</f>
        <v>13</v>
      </c>
      <c r="B483" s="1" t="s">
        <v>8</v>
      </c>
      <c r="H483" s="1">
        <f>IF(COUNTIF($I$2:I483,I483)=1,H482+1,H482)</f>
        <v>194</v>
      </c>
      <c r="I483" s="1" t="s">
        <v>117</v>
      </c>
      <c r="K483" s="1" t="str">
        <f>IFERROR(VLOOKUP(ROWS($J$2:J483),$H$2:$I$570,2,0),"")</f>
        <v/>
      </c>
    </row>
    <row r="484" spans="1:11" x14ac:dyDescent="0.2">
      <c r="A484" s="1">
        <f>IF(COUNTIF($B$2:B484,B484)=1,A483+1,A483)</f>
        <v>13</v>
      </c>
      <c r="B484" s="1" t="s">
        <v>8</v>
      </c>
      <c r="H484" s="1">
        <f>IF(COUNTIF($I$2:I484,I484)=1,H483+1,H483)</f>
        <v>194</v>
      </c>
      <c r="I484" s="1" t="s">
        <v>117</v>
      </c>
      <c r="K484" s="1" t="str">
        <f>IFERROR(VLOOKUP(ROWS($J$2:J484),$H$2:$I$570,2,0),"")</f>
        <v/>
      </c>
    </row>
    <row r="485" spans="1:11" x14ac:dyDescent="0.2">
      <c r="A485" s="1">
        <f>IF(COUNTIF($B$2:B485,B485)=1,A484+1,A484)</f>
        <v>13</v>
      </c>
      <c r="B485" s="1" t="s">
        <v>8</v>
      </c>
      <c r="H485" s="1">
        <f>IF(COUNTIF($I$2:I485,I485)=1,H484+1,H484)</f>
        <v>194</v>
      </c>
      <c r="I485" s="1" t="s">
        <v>117</v>
      </c>
      <c r="K485" s="1" t="str">
        <f>IFERROR(VLOOKUP(ROWS($J$2:J485),$H$2:$I$570,2,0),"")</f>
        <v/>
      </c>
    </row>
    <row r="486" spans="1:11" x14ac:dyDescent="0.2">
      <c r="A486" s="1">
        <f>IF(COUNTIF($B$2:B486,B486)=1,A485+1,A485)</f>
        <v>13</v>
      </c>
      <c r="B486" s="1" t="s">
        <v>8</v>
      </c>
      <c r="H486" s="1">
        <f>IF(COUNTIF($I$2:I486,I486)=1,H485+1,H485)</f>
        <v>195</v>
      </c>
      <c r="I486" s="1" t="s">
        <v>153</v>
      </c>
      <c r="K486" s="1" t="str">
        <f>IFERROR(VLOOKUP(ROWS($J$2:J486),$H$2:$I$570,2,0),"")</f>
        <v/>
      </c>
    </row>
    <row r="487" spans="1:11" x14ac:dyDescent="0.2">
      <c r="A487" s="1">
        <f>IF(COUNTIF($B$2:B487,B487)=1,A486+1,A486)</f>
        <v>13</v>
      </c>
      <c r="B487" s="1" t="s">
        <v>8</v>
      </c>
      <c r="H487" s="1">
        <f>IF(COUNTIF($I$2:I487,I487)=1,H486+1,H486)</f>
        <v>195</v>
      </c>
      <c r="I487" s="1" t="s">
        <v>153</v>
      </c>
      <c r="K487" s="1" t="str">
        <f>IFERROR(VLOOKUP(ROWS($J$2:J487),$H$2:$I$570,2,0),"")</f>
        <v/>
      </c>
    </row>
    <row r="488" spans="1:11" x14ac:dyDescent="0.2">
      <c r="A488" s="1">
        <f>IF(COUNTIF($B$2:B488,B488)=1,A487+1,A487)</f>
        <v>13</v>
      </c>
      <c r="B488" s="1" t="s">
        <v>8</v>
      </c>
      <c r="H488" s="1">
        <f>IF(COUNTIF($I$2:I488,I488)=1,H487+1,H487)</f>
        <v>195</v>
      </c>
      <c r="I488" s="1" t="s">
        <v>153</v>
      </c>
      <c r="K488" s="1" t="str">
        <f>IFERROR(VLOOKUP(ROWS($J$2:J488),$H$2:$I$570,2,0),"")</f>
        <v/>
      </c>
    </row>
    <row r="489" spans="1:11" x14ac:dyDescent="0.2">
      <c r="A489" s="1">
        <f>IF(COUNTIF($B$2:B489,B489)=1,A488+1,A488)</f>
        <v>13</v>
      </c>
      <c r="B489" s="1" t="s">
        <v>8</v>
      </c>
      <c r="H489" s="1">
        <f>IF(COUNTIF($I$2:I489,I489)=1,H488+1,H488)</f>
        <v>195</v>
      </c>
      <c r="I489" s="1" t="s">
        <v>153</v>
      </c>
      <c r="K489" s="1" t="str">
        <f>IFERROR(VLOOKUP(ROWS($J$2:J489),$H$2:$I$570,2,0),"")</f>
        <v/>
      </c>
    </row>
    <row r="490" spans="1:11" x14ac:dyDescent="0.2">
      <c r="A490" s="1">
        <f>IF(COUNTIF($B$2:B490,B490)=1,A489+1,A489)</f>
        <v>13</v>
      </c>
      <c r="B490" s="1" t="s">
        <v>11</v>
      </c>
      <c r="H490" s="1">
        <f>IF(COUNTIF($I$2:I490,I490)=1,H489+1,H489)</f>
        <v>196</v>
      </c>
      <c r="I490" s="1" t="s">
        <v>162</v>
      </c>
      <c r="K490" s="1" t="str">
        <f>IFERROR(VLOOKUP(ROWS($J$2:J490),$H$2:$I$570,2,0),"")</f>
        <v/>
      </c>
    </row>
    <row r="491" spans="1:11" x14ac:dyDescent="0.2">
      <c r="A491" s="1">
        <f>IF(COUNTIF($B$2:B491,B491)=1,A490+1,A490)</f>
        <v>13</v>
      </c>
      <c r="B491" s="1" t="s">
        <v>8</v>
      </c>
      <c r="H491" s="1">
        <f>IF(COUNTIF($I$2:I491,I491)=1,H490+1,H490)</f>
        <v>196</v>
      </c>
      <c r="I491" s="1" t="s">
        <v>162</v>
      </c>
      <c r="K491" s="1" t="str">
        <f>IFERROR(VLOOKUP(ROWS($J$2:J491),$H$2:$I$570,2,0),"")</f>
        <v/>
      </c>
    </row>
    <row r="492" spans="1:11" x14ac:dyDescent="0.2">
      <c r="A492" s="1">
        <f>IF(COUNTIF($B$2:B492,B492)=1,A491+1,A491)</f>
        <v>13</v>
      </c>
      <c r="B492" s="1" t="s">
        <v>8</v>
      </c>
      <c r="H492" s="1">
        <f>IF(COUNTIF($I$2:I492,I492)=1,H491+1,H491)</f>
        <v>196</v>
      </c>
      <c r="I492" s="1" t="s">
        <v>162</v>
      </c>
      <c r="K492" s="1" t="str">
        <f>IFERROR(VLOOKUP(ROWS($J$2:J492),$H$2:$I$570,2,0),"")</f>
        <v/>
      </c>
    </row>
    <row r="493" spans="1:11" x14ac:dyDescent="0.2">
      <c r="A493" s="1">
        <f>IF(COUNTIF($B$2:B493,B493)=1,A492+1,A492)</f>
        <v>13</v>
      </c>
      <c r="B493" s="1" t="s">
        <v>8</v>
      </c>
      <c r="H493" s="1">
        <f>IF(COUNTIF($I$2:I493,I493)=1,H492+1,H492)</f>
        <v>197</v>
      </c>
      <c r="I493" s="1" t="s">
        <v>189</v>
      </c>
      <c r="K493" s="1" t="str">
        <f>IFERROR(VLOOKUP(ROWS($J$2:J493),$H$2:$I$570,2,0),"")</f>
        <v/>
      </c>
    </row>
    <row r="494" spans="1:11" x14ac:dyDescent="0.2">
      <c r="A494" s="1">
        <f>IF(COUNTIF($B$2:B494,B494)=1,A493+1,A493)</f>
        <v>13</v>
      </c>
      <c r="B494" s="1" t="s">
        <v>9</v>
      </c>
      <c r="H494" s="1">
        <f>IF(COUNTIF($I$2:I494,I494)=1,H493+1,H493)</f>
        <v>197</v>
      </c>
      <c r="I494" s="1" t="s">
        <v>189</v>
      </c>
      <c r="K494" s="1" t="str">
        <f>IFERROR(VLOOKUP(ROWS($J$2:J494),$H$2:$I$570,2,0),"")</f>
        <v/>
      </c>
    </row>
    <row r="495" spans="1:11" x14ac:dyDescent="0.2">
      <c r="A495" s="1">
        <f>IF(COUNTIF($B$2:B495,B495)=1,A494+1,A494)</f>
        <v>13</v>
      </c>
      <c r="B495" s="1" t="s">
        <v>9</v>
      </c>
      <c r="H495" s="1">
        <f>IF(COUNTIF($I$2:I495,I495)=1,H494+1,H494)</f>
        <v>198</v>
      </c>
      <c r="I495" s="1" t="s">
        <v>107</v>
      </c>
      <c r="K495" s="1" t="str">
        <f>IFERROR(VLOOKUP(ROWS($J$2:J495),$H$2:$I$570,2,0),"")</f>
        <v/>
      </c>
    </row>
    <row r="496" spans="1:11" x14ac:dyDescent="0.2">
      <c r="A496" s="1">
        <f>IF(COUNTIF($B$2:B496,B496)=1,A495+1,A495)</f>
        <v>13</v>
      </c>
      <c r="B496" s="1" t="s">
        <v>9</v>
      </c>
      <c r="H496" s="1">
        <f>IF(COUNTIF($I$2:I496,I496)=1,H495+1,H495)</f>
        <v>198</v>
      </c>
      <c r="I496" s="1" t="s">
        <v>107</v>
      </c>
      <c r="K496" s="1" t="str">
        <f>IFERROR(VLOOKUP(ROWS($J$2:J496),$H$2:$I$570,2,0),"")</f>
        <v/>
      </c>
    </row>
    <row r="497" spans="1:11" x14ac:dyDescent="0.2">
      <c r="A497" s="1">
        <f>IF(COUNTIF($B$2:B497,B497)=1,A496+1,A496)</f>
        <v>13</v>
      </c>
      <c r="B497" s="1" t="s">
        <v>9</v>
      </c>
      <c r="H497" s="1">
        <f>IF(COUNTIF($I$2:I497,I497)=1,H496+1,H496)</f>
        <v>199</v>
      </c>
      <c r="I497" s="1" t="s">
        <v>105</v>
      </c>
      <c r="K497" s="1" t="str">
        <f>IFERROR(VLOOKUP(ROWS($J$2:J497),$H$2:$I$570,2,0),"")</f>
        <v/>
      </c>
    </row>
    <row r="498" spans="1:11" x14ac:dyDescent="0.2">
      <c r="A498" s="1">
        <f>IF(COUNTIF($B$2:B498,B498)=1,A497+1,A497)</f>
        <v>13</v>
      </c>
      <c r="B498" s="1" t="s">
        <v>9</v>
      </c>
      <c r="H498" s="1">
        <f>IF(COUNTIF($I$2:I498,I498)=1,H497+1,H497)</f>
        <v>199</v>
      </c>
      <c r="I498" s="1" t="s">
        <v>105</v>
      </c>
      <c r="K498" s="1" t="str">
        <f>IFERROR(VLOOKUP(ROWS($J$2:J498),$H$2:$I$570,2,0),"")</f>
        <v/>
      </c>
    </row>
    <row r="499" spans="1:11" x14ac:dyDescent="0.2">
      <c r="A499" s="1">
        <f>IF(COUNTIF($B$2:B499,B499)=1,A498+1,A498)</f>
        <v>13</v>
      </c>
      <c r="B499" s="1" t="s">
        <v>9</v>
      </c>
      <c r="H499" s="1">
        <f>IF(COUNTIF($I$2:I499,I499)=1,H498+1,H498)</f>
        <v>199</v>
      </c>
      <c r="I499" s="1" t="s">
        <v>105</v>
      </c>
      <c r="K499" s="1" t="str">
        <f>IFERROR(VLOOKUP(ROWS($J$2:J499),$H$2:$I$570,2,0),"")</f>
        <v/>
      </c>
    </row>
    <row r="500" spans="1:11" x14ac:dyDescent="0.2">
      <c r="A500" s="1">
        <f>IF(COUNTIF($B$2:B500,B500)=1,A499+1,A499)</f>
        <v>13</v>
      </c>
      <c r="B500" s="1" t="s">
        <v>9</v>
      </c>
      <c r="H500" s="1">
        <f>IF(COUNTIF($I$2:I500,I500)=1,H499+1,H499)</f>
        <v>200</v>
      </c>
      <c r="I500" s="1" t="s">
        <v>46</v>
      </c>
      <c r="K500" s="1" t="str">
        <f>IFERROR(VLOOKUP(ROWS($J$2:J500),$H$2:$I$570,2,0),"")</f>
        <v/>
      </c>
    </row>
    <row r="501" spans="1:11" x14ac:dyDescent="0.2">
      <c r="A501" s="1">
        <f>IF(COUNTIF($B$2:B501,B501)=1,A500+1,A500)</f>
        <v>13</v>
      </c>
      <c r="B501" s="1" t="s">
        <v>11</v>
      </c>
      <c r="H501" s="1">
        <f>IF(COUNTIF($I$2:I501,I501)=1,H500+1,H500)</f>
        <v>200</v>
      </c>
      <c r="I501" s="1" t="s">
        <v>46</v>
      </c>
      <c r="K501" s="1" t="str">
        <f>IFERROR(VLOOKUP(ROWS($J$2:J501),$H$2:$I$570,2,0),"")</f>
        <v/>
      </c>
    </row>
    <row r="502" spans="1:11" x14ac:dyDescent="0.2">
      <c r="A502" s="1">
        <f>IF(COUNTIF($B$2:B502,B502)=1,A501+1,A501)</f>
        <v>13</v>
      </c>
      <c r="B502" s="1" t="s">
        <v>11</v>
      </c>
      <c r="H502" s="1">
        <f>IF(COUNTIF($I$2:I502,I502)=1,H501+1,H501)</f>
        <v>200</v>
      </c>
      <c r="I502" s="1" t="s">
        <v>46</v>
      </c>
      <c r="K502" s="1" t="str">
        <f>IFERROR(VLOOKUP(ROWS($J$2:J502),$H$2:$I$570,2,0),"")</f>
        <v/>
      </c>
    </row>
    <row r="503" spans="1:11" x14ac:dyDescent="0.2">
      <c r="A503" s="1">
        <f>IF(COUNTIF($B$2:B503,B503)=1,A502+1,A502)</f>
        <v>13</v>
      </c>
      <c r="B503" s="1" t="s">
        <v>11</v>
      </c>
      <c r="H503" s="1">
        <f>IF(COUNTIF($I$2:I503,I503)=1,H502+1,H502)</f>
        <v>201</v>
      </c>
      <c r="I503" s="1" t="s">
        <v>132</v>
      </c>
      <c r="K503" s="1" t="str">
        <f>IFERROR(VLOOKUP(ROWS($J$2:J503),$H$2:$I$570,2,0),"")</f>
        <v/>
      </c>
    </row>
    <row r="504" spans="1:11" x14ac:dyDescent="0.2">
      <c r="A504" s="1">
        <f>IF(COUNTIF($B$2:B504,B504)=1,A503+1,A503)</f>
        <v>13</v>
      </c>
      <c r="B504" s="1" t="s">
        <v>11</v>
      </c>
      <c r="H504" s="1">
        <f>IF(COUNTIF($I$2:I504,I504)=1,H503+1,H503)</f>
        <v>201</v>
      </c>
      <c r="I504" s="1" t="s">
        <v>132</v>
      </c>
      <c r="K504" s="1" t="str">
        <f>IFERROR(VLOOKUP(ROWS($J$2:J504),$H$2:$I$570,2,0),"")</f>
        <v/>
      </c>
    </row>
    <row r="505" spans="1:11" x14ac:dyDescent="0.2">
      <c r="A505" s="1">
        <f>IF(COUNTIF($B$2:B505,B505)=1,A504+1,A504)</f>
        <v>13</v>
      </c>
      <c r="B505" s="1" t="s">
        <v>11</v>
      </c>
      <c r="H505" s="1">
        <f>IF(COUNTIF($I$2:I505,I505)=1,H504+1,H504)</f>
        <v>201</v>
      </c>
      <c r="I505" s="1" t="s">
        <v>132</v>
      </c>
      <c r="K505" s="1" t="str">
        <f>IFERROR(VLOOKUP(ROWS($J$2:J505),$H$2:$I$570,2,0),"")</f>
        <v/>
      </c>
    </row>
    <row r="506" spans="1:11" x14ac:dyDescent="0.2">
      <c r="A506" s="1">
        <f>IF(COUNTIF($B$2:B506,B506)=1,A505+1,A505)</f>
        <v>13</v>
      </c>
      <c r="B506" s="1" t="s">
        <v>11</v>
      </c>
      <c r="H506" s="1">
        <f>IF(COUNTIF($I$2:I506,I506)=1,H505+1,H505)</f>
        <v>202</v>
      </c>
      <c r="I506" s="1" t="s">
        <v>57</v>
      </c>
      <c r="K506" s="1" t="str">
        <f>IFERROR(VLOOKUP(ROWS($J$2:J506),$H$2:$I$570,2,0),"")</f>
        <v/>
      </c>
    </row>
    <row r="507" spans="1:11" x14ac:dyDescent="0.2">
      <c r="A507" s="1">
        <f>IF(COUNTIF($B$2:B507,B507)=1,A506+1,A506)</f>
        <v>13</v>
      </c>
      <c r="B507" s="1" t="s">
        <v>13</v>
      </c>
      <c r="H507" s="1">
        <f>IF(COUNTIF($I$2:I507,I507)=1,H506+1,H506)</f>
        <v>203</v>
      </c>
      <c r="I507" s="1" t="s">
        <v>177</v>
      </c>
      <c r="K507" s="1" t="str">
        <f>IFERROR(VLOOKUP(ROWS($J$2:J507),$H$2:$I$570,2,0),"")</f>
        <v/>
      </c>
    </row>
    <row r="508" spans="1:11" x14ac:dyDescent="0.2">
      <c r="A508" s="1">
        <f>IF(COUNTIF($B$2:B508,B508)=1,A507+1,A507)</f>
        <v>13</v>
      </c>
      <c r="B508" s="1" t="s">
        <v>4</v>
      </c>
      <c r="H508" s="1">
        <f>IF(COUNTIF($I$2:I508,I508)=1,H507+1,H507)</f>
        <v>203</v>
      </c>
      <c r="I508" s="1" t="s">
        <v>177</v>
      </c>
      <c r="K508" s="1" t="str">
        <f>IFERROR(VLOOKUP(ROWS($J$2:J508),$H$2:$I$570,2,0),"")</f>
        <v/>
      </c>
    </row>
    <row r="509" spans="1:11" x14ac:dyDescent="0.2">
      <c r="A509" s="1">
        <f>IF(COUNTIF($B$2:B509,B509)=1,A508+1,A508)</f>
        <v>13</v>
      </c>
      <c r="B509" s="1" t="s">
        <v>4</v>
      </c>
      <c r="H509" s="1">
        <f>IF(COUNTIF($I$2:I509,I509)=1,H508+1,H508)</f>
        <v>203</v>
      </c>
      <c r="I509" s="1" t="s">
        <v>177</v>
      </c>
      <c r="K509" s="1" t="str">
        <f>IFERROR(VLOOKUP(ROWS($J$2:J509),$H$2:$I$570,2,0),"")</f>
        <v/>
      </c>
    </row>
    <row r="510" spans="1:11" x14ac:dyDescent="0.2">
      <c r="A510" s="1">
        <f>IF(COUNTIF($B$2:B510,B510)=1,A509+1,A509)</f>
        <v>13</v>
      </c>
      <c r="B510" s="1" t="s">
        <v>11</v>
      </c>
      <c r="H510" s="1">
        <f>IF(COUNTIF($I$2:I510,I510)=1,H509+1,H509)</f>
        <v>203</v>
      </c>
      <c r="I510" s="1" t="s">
        <v>177</v>
      </c>
      <c r="K510" s="1" t="str">
        <f>IFERROR(VLOOKUP(ROWS($J$2:J510),$H$2:$I$570,2,0),"")</f>
        <v/>
      </c>
    </row>
    <row r="511" spans="1:11" x14ac:dyDescent="0.2">
      <c r="A511" s="1">
        <f>IF(COUNTIF($B$2:B511,B511)=1,A510+1,A510)</f>
        <v>13</v>
      </c>
      <c r="B511" s="1" t="s">
        <v>9</v>
      </c>
      <c r="H511" s="1">
        <f>IF(COUNTIF($I$2:I511,I511)=1,H510+1,H510)</f>
        <v>204</v>
      </c>
      <c r="I511" s="1" t="s">
        <v>151</v>
      </c>
      <c r="K511" s="1" t="str">
        <f>IFERROR(VLOOKUP(ROWS($J$2:J511),$H$2:$I$570,2,0),"")</f>
        <v/>
      </c>
    </row>
    <row r="512" spans="1:11" x14ac:dyDescent="0.2">
      <c r="A512" s="1">
        <f>IF(COUNTIF($B$2:B512,B512)=1,A511+1,A511)</f>
        <v>13</v>
      </c>
      <c r="B512" s="1" t="s">
        <v>8</v>
      </c>
      <c r="H512" s="1">
        <f>IF(COUNTIF($I$2:I512,I512)=1,H511+1,H511)</f>
        <v>205</v>
      </c>
      <c r="I512" s="1" t="s">
        <v>178</v>
      </c>
      <c r="K512" s="1" t="str">
        <f>IFERROR(VLOOKUP(ROWS($J$2:J512),$H$2:$I$570,2,0),"")</f>
        <v/>
      </c>
    </row>
    <row r="513" spans="1:11" x14ac:dyDescent="0.2">
      <c r="A513" s="1">
        <f>IF(COUNTIF($B$2:B513,B513)=1,A512+1,A512)</f>
        <v>13</v>
      </c>
      <c r="B513" s="1" t="s">
        <v>9</v>
      </c>
      <c r="H513" s="1">
        <f>IF(COUNTIF($I$2:I513,I513)=1,H512+1,H512)</f>
        <v>205</v>
      </c>
      <c r="I513" s="1" t="s">
        <v>178</v>
      </c>
      <c r="K513" s="1" t="str">
        <f>IFERROR(VLOOKUP(ROWS($J$2:J513),$H$2:$I$570,2,0),"")</f>
        <v/>
      </c>
    </row>
    <row r="514" spans="1:11" x14ac:dyDescent="0.2">
      <c r="A514" s="1">
        <f>IF(COUNTIF($B$2:B514,B514)=1,A513+1,A513)</f>
        <v>13</v>
      </c>
      <c r="B514" s="1" t="s">
        <v>4</v>
      </c>
      <c r="H514" s="1">
        <f>IF(COUNTIF($I$2:I514,I514)=1,H513+1,H513)</f>
        <v>206</v>
      </c>
      <c r="I514" s="1" t="s">
        <v>210</v>
      </c>
      <c r="K514" s="1" t="str">
        <f>IFERROR(VLOOKUP(ROWS($J$2:J514),$H$2:$I$570,2,0),"")</f>
        <v/>
      </c>
    </row>
    <row r="515" spans="1:11" x14ac:dyDescent="0.2">
      <c r="A515" s="1">
        <f>IF(COUNTIF($B$2:B515,B515)=1,A514+1,A514)</f>
        <v>13</v>
      </c>
      <c r="B515" s="1" t="s">
        <v>9</v>
      </c>
      <c r="H515" s="1">
        <f>IF(COUNTIF($I$2:I515,I515)=1,H514+1,H514)</f>
        <v>206</v>
      </c>
      <c r="I515" s="1" t="s">
        <v>210</v>
      </c>
      <c r="K515" s="1" t="str">
        <f>IFERROR(VLOOKUP(ROWS($J$2:J515),$H$2:$I$570,2,0),"")</f>
        <v/>
      </c>
    </row>
    <row r="516" spans="1:11" x14ac:dyDescent="0.2">
      <c r="A516" s="1">
        <f>IF(COUNTIF($B$2:B516,B516)=1,A515+1,A515)</f>
        <v>13</v>
      </c>
      <c r="B516" s="1" t="s">
        <v>13</v>
      </c>
      <c r="H516" s="1">
        <f>IF(COUNTIF($I$2:I516,I516)=1,H515+1,H515)</f>
        <v>207</v>
      </c>
      <c r="I516" s="1" t="s">
        <v>236</v>
      </c>
      <c r="K516" s="1" t="str">
        <f>IFERROR(VLOOKUP(ROWS($J$2:J516),$H$2:$I$570,2,0),"")</f>
        <v/>
      </c>
    </row>
    <row r="517" spans="1:11" x14ac:dyDescent="0.2">
      <c r="A517" s="1">
        <f>IF(COUNTIF($B$2:B517,B517)=1,A516+1,A516)</f>
        <v>13</v>
      </c>
      <c r="B517" s="1" t="s">
        <v>4</v>
      </c>
      <c r="H517" s="1">
        <f>IF(COUNTIF($I$2:I517,I517)=1,H516+1,H516)</f>
        <v>207</v>
      </c>
      <c r="I517" s="1" t="s">
        <v>236</v>
      </c>
      <c r="K517" s="1" t="str">
        <f>IFERROR(VLOOKUP(ROWS($J$2:J517),$H$2:$I$570,2,0),"")</f>
        <v/>
      </c>
    </row>
    <row r="518" spans="1:11" x14ac:dyDescent="0.2">
      <c r="A518" s="1">
        <f>IF(COUNTIF($B$2:B518,B518)=1,A517+1,A517)</f>
        <v>13</v>
      </c>
      <c r="B518" s="1" t="s">
        <v>8</v>
      </c>
      <c r="H518" s="1">
        <f>IF(COUNTIF($I$2:I518,I518)=1,H517+1,H517)</f>
        <v>207</v>
      </c>
      <c r="I518" s="1" t="s">
        <v>236</v>
      </c>
      <c r="K518" s="1" t="str">
        <f>IFERROR(VLOOKUP(ROWS($J$2:J518),$H$2:$I$570,2,0),"")</f>
        <v/>
      </c>
    </row>
    <row r="519" spans="1:11" x14ac:dyDescent="0.2">
      <c r="A519" s="1">
        <f>IF(COUNTIF($B$2:B519,B519)=1,A518+1,A518)</f>
        <v>13</v>
      </c>
      <c r="B519" s="1" t="s">
        <v>4</v>
      </c>
      <c r="H519" s="1">
        <f>IF(COUNTIF($I$2:I519,I519)=1,H518+1,H518)</f>
        <v>208</v>
      </c>
      <c r="I519" s="1" t="s">
        <v>47</v>
      </c>
      <c r="K519" s="1" t="str">
        <f>IFERROR(VLOOKUP(ROWS($J$2:J519),$H$2:$I$570,2,0),"")</f>
        <v/>
      </c>
    </row>
    <row r="520" spans="1:11" x14ac:dyDescent="0.2">
      <c r="A520" s="1">
        <f>IF(COUNTIF($B$2:B520,B520)=1,A519+1,A519)</f>
        <v>13</v>
      </c>
      <c r="B520" s="1" t="s">
        <v>8</v>
      </c>
      <c r="H520" s="1">
        <f>IF(COUNTIF($I$2:I520,I520)=1,H519+1,H519)</f>
        <v>208</v>
      </c>
      <c r="I520" s="1" t="s">
        <v>47</v>
      </c>
      <c r="K520" s="1" t="str">
        <f>IFERROR(VLOOKUP(ROWS($J$2:J520),$H$2:$I$570,2,0),"")</f>
        <v/>
      </c>
    </row>
    <row r="521" spans="1:11" x14ac:dyDescent="0.2">
      <c r="A521" s="1">
        <f>IF(COUNTIF($B$2:B521,B521)=1,A520+1,A520)</f>
        <v>13</v>
      </c>
      <c r="B521" s="1" t="s">
        <v>9</v>
      </c>
      <c r="H521" s="1">
        <f>IF(COUNTIF($I$2:I521,I521)=1,H520+1,H520)</f>
        <v>208</v>
      </c>
      <c r="I521" s="1" t="s">
        <v>47</v>
      </c>
      <c r="K521" s="1" t="str">
        <f>IFERROR(VLOOKUP(ROWS($J$2:J521),$H$2:$I$570,2,0),"")</f>
        <v/>
      </c>
    </row>
    <row r="522" spans="1:11" x14ac:dyDescent="0.2">
      <c r="A522" s="1">
        <f>IF(COUNTIF($B$2:B522,B522)=1,A521+1,A521)</f>
        <v>13</v>
      </c>
      <c r="B522" s="1" t="s">
        <v>8</v>
      </c>
      <c r="H522" s="1">
        <f>IF(COUNTIF($I$2:I522,I522)=1,H521+1,H521)</f>
        <v>208</v>
      </c>
      <c r="I522" s="1" t="s">
        <v>47</v>
      </c>
      <c r="K522" s="1" t="str">
        <f>IFERROR(VLOOKUP(ROWS($J$2:J522),$H$2:$I$570,2,0),"")</f>
        <v/>
      </c>
    </row>
    <row r="523" spans="1:11" x14ac:dyDescent="0.2">
      <c r="A523" s="1">
        <f>IF(COUNTIF($B$2:B523,B523)=1,A522+1,A522)</f>
        <v>13</v>
      </c>
      <c r="B523" s="1" t="s">
        <v>9</v>
      </c>
      <c r="H523" s="1">
        <f>IF(COUNTIF($I$2:I523,I523)=1,H522+1,H522)</f>
        <v>209</v>
      </c>
      <c r="I523" s="1" t="s">
        <v>127</v>
      </c>
      <c r="K523" s="1" t="str">
        <f>IFERROR(VLOOKUP(ROWS($J$2:J523),$H$2:$I$570,2,0),"")</f>
        <v/>
      </c>
    </row>
    <row r="524" spans="1:11" x14ac:dyDescent="0.2">
      <c r="A524" s="1">
        <f>IF(COUNTIF($B$2:B524,B524)=1,A523+1,A523)</f>
        <v>13</v>
      </c>
      <c r="B524" s="1" t="s">
        <v>8</v>
      </c>
      <c r="H524" s="1">
        <f>IF(COUNTIF($I$2:I524,I524)=1,H523+1,H523)</f>
        <v>209</v>
      </c>
      <c r="I524" s="1" t="s">
        <v>127</v>
      </c>
      <c r="K524" s="1" t="str">
        <f>IFERROR(VLOOKUP(ROWS($J$2:J524),$H$2:$I$570,2,0),"")</f>
        <v/>
      </c>
    </row>
    <row r="525" spans="1:11" x14ac:dyDescent="0.2">
      <c r="A525" s="1">
        <f>IF(COUNTIF($B$2:B525,B525)=1,A524+1,A524)</f>
        <v>13</v>
      </c>
      <c r="B525" s="1" t="s">
        <v>4</v>
      </c>
      <c r="H525" s="1">
        <f>IF(COUNTIF($I$2:I525,I525)=1,H524+1,H524)</f>
        <v>209</v>
      </c>
      <c r="I525" s="1" t="s">
        <v>127</v>
      </c>
      <c r="K525" s="1" t="str">
        <f>IFERROR(VLOOKUP(ROWS($J$2:J525),$H$2:$I$570,2,0),"")</f>
        <v/>
      </c>
    </row>
    <row r="526" spans="1:11" x14ac:dyDescent="0.2">
      <c r="A526" s="1">
        <f>IF(COUNTIF($B$2:B526,B526)=1,A525+1,A525)</f>
        <v>13</v>
      </c>
      <c r="B526" s="1" t="s">
        <v>6</v>
      </c>
      <c r="H526" s="1">
        <f>IF(COUNTIF($I$2:I526,I526)=1,H525+1,H525)</f>
        <v>210</v>
      </c>
      <c r="I526" s="1" t="s">
        <v>134</v>
      </c>
      <c r="K526" s="1" t="str">
        <f>IFERROR(VLOOKUP(ROWS($J$2:J526),$H$2:$I$570,2,0),"")</f>
        <v/>
      </c>
    </row>
    <row r="527" spans="1:11" x14ac:dyDescent="0.2">
      <c r="A527" s="1">
        <f>IF(COUNTIF($B$2:B527,B527)=1,A526+1,A526)</f>
        <v>13</v>
      </c>
      <c r="B527" s="1" t="s">
        <v>6</v>
      </c>
      <c r="H527" s="1">
        <f>IF(COUNTIF($I$2:I527,I527)=1,H526+1,H526)</f>
        <v>210</v>
      </c>
      <c r="I527" s="1" t="s">
        <v>134</v>
      </c>
      <c r="K527" s="1" t="str">
        <f>IFERROR(VLOOKUP(ROWS($J$2:J527),$H$2:$I$570,2,0),"")</f>
        <v/>
      </c>
    </row>
    <row r="528" spans="1:11" x14ac:dyDescent="0.2">
      <c r="A528" s="1">
        <f>IF(COUNTIF($B$2:B528,B528)=1,A527+1,A527)</f>
        <v>13</v>
      </c>
      <c r="B528" s="1" t="s">
        <v>4</v>
      </c>
      <c r="H528" s="1">
        <f>IF(COUNTIF($I$2:I528,I528)=1,H527+1,H527)</f>
        <v>211</v>
      </c>
      <c r="I528" s="1" t="s">
        <v>227</v>
      </c>
      <c r="K528" s="1" t="str">
        <f>IFERROR(VLOOKUP(ROWS($J$2:J528),$H$2:$I$570,2,0),"")</f>
        <v/>
      </c>
    </row>
    <row r="529" spans="1:11" x14ac:dyDescent="0.2">
      <c r="A529" s="1">
        <f>IF(COUNTIF($B$2:B529,B529)=1,A528+1,A528)</f>
        <v>13</v>
      </c>
      <c r="B529" s="1" t="s">
        <v>4</v>
      </c>
      <c r="H529" s="1">
        <f>IF(COUNTIF($I$2:I529,I529)=1,H528+1,H528)</f>
        <v>212</v>
      </c>
      <c r="I529" s="1" t="s">
        <v>129</v>
      </c>
      <c r="K529" s="1" t="str">
        <f>IFERROR(VLOOKUP(ROWS($J$2:J529),$H$2:$I$570,2,0),"")</f>
        <v/>
      </c>
    </row>
    <row r="530" spans="1:11" x14ac:dyDescent="0.2">
      <c r="A530" s="1">
        <f>IF(COUNTIF($B$2:B530,B530)=1,A529+1,A529)</f>
        <v>13</v>
      </c>
      <c r="B530" s="1" t="s">
        <v>4</v>
      </c>
      <c r="H530" s="1">
        <f>IF(COUNTIF($I$2:I530,I530)=1,H529+1,H529)</f>
        <v>212</v>
      </c>
      <c r="I530" s="1" t="s">
        <v>129</v>
      </c>
      <c r="K530" s="1" t="str">
        <f>IFERROR(VLOOKUP(ROWS($J$2:J530),$H$2:$I$570,2,0),"")</f>
        <v/>
      </c>
    </row>
    <row r="531" spans="1:11" x14ac:dyDescent="0.2">
      <c r="A531" s="1">
        <f>IF(COUNTIF($B$2:B531,B531)=1,A530+1,A530)</f>
        <v>13</v>
      </c>
      <c r="B531" s="1" t="s">
        <v>4</v>
      </c>
      <c r="H531" s="1">
        <f>IF(COUNTIF($I$2:I531,I531)=1,H530+1,H530)</f>
        <v>213</v>
      </c>
      <c r="I531" s="1" t="s">
        <v>225</v>
      </c>
      <c r="K531" s="1" t="str">
        <f>IFERROR(VLOOKUP(ROWS($J$2:J531),$H$2:$I$570,2,0),"")</f>
        <v/>
      </c>
    </row>
    <row r="532" spans="1:11" x14ac:dyDescent="0.2">
      <c r="A532" s="1">
        <f>IF(COUNTIF($B$2:B532,B532)=1,A531+1,A531)</f>
        <v>13</v>
      </c>
      <c r="B532" s="1" t="s">
        <v>4</v>
      </c>
      <c r="H532" s="1">
        <f>IF(COUNTIF($I$2:I532,I532)=1,H531+1,H531)</f>
        <v>214</v>
      </c>
      <c r="I532" s="1" t="s">
        <v>139</v>
      </c>
      <c r="K532" s="1" t="str">
        <f>IFERROR(VLOOKUP(ROWS($J$2:J532),$H$2:$I$570,2,0),"")</f>
        <v/>
      </c>
    </row>
    <row r="533" spans="1:11" x14ac:dyDescent="0.2">
      <c r="A533" s="1">
        <f>IF(COUNTIF($B$2:B533,B533)=1,A532+1,A532)</f>
        <v>13</v>
      </c>
      <c r="B533" s="1" t="s">
        <v>4</v>
      </c>
      <c r="H533" s="1">
        <f>IF(COUNTIF($I$2:I533,I533)=1,H532+1,H532)</f>
        <v>214</v>
      </c>
      <c r="I533" s="1" t="s">
        <v>139</v>
      </c>
      <c r="K533" s="1" t="str">
        <f>IFERROR(VLOOKUP(ROWS($J$2:J533),$H$2:$I$570,2,0),"")</f>
        <v/>
      </c>
    </row>
    <row r="534" spans="1:11" x14ac:dyDescent="0.2">
      <c r="A534" s="1">
        <f>IF(COUNTIF($B$2:B534,B534)=1,A533+1,A533)</f>
        <v>13</v>
      </c>
      <c r="B534" s="1" t="s">
        <v>8</v>
      </c>
      <c r="H534" s="1">
        <f>IF(COUNTIF($I$2:I534,I534)=1,H533+1,H533)</f>
        <v>215</v>
      </c>
      <c r="I534" s="1" t="s">
        <v>165</v>
      </c>
      <c r="K534" s="1" t="str">
        <f>IFERROR(VLOOKUP(ROWS($J$2:J534),$H$2:$I$570,2,0),"")</f>
        <v/>
      </c>
    </row>
    <row r="535" spans="1:11" x14ac:dyDescent="0.2">
      <c r="A535" s="1">
        <f>IF(COUNTIF($B$2:B535,B535)=1,A534+1,A534)</f>
        <v>13</v>
      </c>
      <c r="B535" s="1" t="s">
        <v>8</v>
      </c>
      <c r="H535" s="1">
        <f>IF(COUNTIF($I$2:I535,I535)=1,H534+1,H534)</f>
        <v>215</v>
      </c>
      <c r="I535" s="1" t="s">
        <v>165</v>
      </c>
      <c r="K535" s="1" t="str">
        <f>IFERROR(VLOOKUP(ROWS($J$2:J535),$H$2:$I$570,2,0),"")</f>
        <v/>
      </c>
    </row>
    <row r="536" spans="1:11" x14ac:dyDescent="0.2">
      <c r="A536" s="1">
        <f>IF(COUNTIF($B$2:B536,B536)=1,A535+1,A535)</f>
        <v>13</v>
      </c>
      <c r="B536" s="1" t="s">
        <v>8</v>
      </c>
      <c r="H536" s="1">
        <f>IF(COUNTIF($I$2:I536,I536)=1,H535+1,H535)</f>
        <v>216</v>
      </c>
      <c r="I536" s="1" t="s">
        <v>45</v>
      </c>
      <c r="K536" s="1" t="str">
        <f>IFERROR(VLOOKUP(ROWS($J$2:J536),$H$2:$I$570,2,0),"")</f>
        <v/>
      </c>
    </row>
    <row r="537" spans="1:11" x14ac:dyDescent="0.2">
      <c r="A537" s="1">
        <f>IF(COUNTIF($B$2:B537,B537)=1,A536+1,A536)</f>
        <v>13</v>
      </c>
      <c r="B537" s="1" t="s">
        <v>8</v>
      </c>
      <c r="H537" s="1">
        <f>IF(COUNTIF($I$2:I537,I537)=1,H536+1,H536)</f>
        <v>216</v>
      </c>
      <c r="I537" s="1" t="s">
        <v>45</v>
      </c>
      <c r="K537" s="1" t="str">
        <f>IFERROR(VLOOKUP(ROWS($J$2:J537),$H$2:$I$570,2,0),"")</f>
        <v/>
      </c>
    </row>
    <row r="538" spans="1:11" x14ac:dyDescent="0.2">
      <c r="A538" s="1">
        <f>IF(COUNTIF($B$2:B538,B538)=1,A537+1,A537)</f>
        <v>13</v>
      </c>
      <c r="B538" s="1" t="s">
        <v>8</v>
      </c>
      <c r="H538" s="1">
        <f>IF(COUNTIF($I$2:I538,I538)=1,H537+1,H537)</f>
        <v>216</v>
      </c>
      <c r="I538" s="1" t="s">
        <v>45</v>
      </c>
      <c r="K538" s="1" t="str">
        <f>IFERROR(VLOOKUP(ROWS($J$2:J538),$H$2:$I$570,2,0),"")</f>
        <v/>
      </c>
    </row>
    <row r="539" spans="1:11" x14ac:dyDescent="0.2">
      <c r="A539" s="1">
        <f>IF(COUNTIF($B$2:B539,B539)=1,A538+1,A538)</f>
        <v>13</v>
      </c>
      <c r="B539" s="1" t="s">
        <v>8</v>
      </c>
      <c r="H539" s="1">
        <f>IF(COUNTIF($I$2:I539,I539)=1,H538+1,H538)</f>
        <v>217</v>
      </c>
      <c r="I539" s="1" t="s">
        <v>100</v>
      </c>
      <c r="K539" s="1" t="str">
        <f>IFERROR(VLOOKUP(ROWS($J$2:J539),$H$2:$I$570,2,0),"")</f>
        <v/>
      </c>
    </row>
    <row r="540" spans="1:11" x14ac:dyDescent="0.2">
      <c r="A540" s="1">
        <f>IF(COUNTIF($B$2:B540,B540)=1,A539+1,A539)</f>
        <v>13</v>
      </c>
      <c r="B540" s="1" t="s">
        <v>8</v>
      </c>
      <c r="H540" s="1">
        <f>IF(COUNTIF($I$2:I540,I540)=1,H539+1,H539)</f>
        <v>217</v>
      </c>
      <c r="I540" s="1" t="s">
        <v>100</v>
      </c>
      <c r="K540" s="1" t="str">
        <f>IFERROR(VLOOKUP(ROWS($J$2:J540),$H$2:$I$570,2,0),"")</f>
        <v/>
      </c>
    </row>
    <row r="541" spans="1:11" x14ac:dyDescent="0.2">
      <c r="A541" s="1">
        <f>IF(COUNTIF($B$2:B541,B541)=1,A540+1,A540)</f>
        <v>13</v>
      </c>
      <c r="B541" s="1" t="s">
        <v>8</v>
      </c>
      <c r="H541" s="1">
        <f>IF(COUNTIF($I$2:I541,I541)=1,H540+1,H540)</f>
        <v>217</v>
      </c>
      <c r="I541" s="1" t="s">
        <v>100</v>
      </c>
      <c r="K541" s="1" t="str">
        <f>IFERROR(VLOOKUP(ROWS($J$2:J541),$H$2:$I$570,2,0),"")</f>
        <v/>
      </c>
    </row>
    <row r="542" spans="1:11" x14ac:dyDescent="0.2">
      <c r="A542" s="1">
        <f>IF(COUNTIF($B$2:B542,B542)=1,A541+1,A541)</f>
        <v>13</v>
      </c>
      <c r="B542" s="1" t="s">
        <v>8</v>
      </c>
      <c r="H542" s="1">
        <f>IF(COUNTIF($I$2:I542,I542)=1,H541+1,H541)</f>
        <v>218</v>
      </c>
      <c r="I542" s="1" t="s">
        <v>96</v>
      </c>
      <c r="K542" s="1" t="str">
        <f>IFERROR(VLOOKUP(ROWS($J$2:J542),$H$2:$I$570,2,0),"")</f>
        <v/>
      </c>
    </row>
    <row r="543" spans="1:11" x14ac:dyDescent="0.2">
      <c r="A543" s="1">
        <f>IF(COUNTIF($B$2:B543,B543)=1,A542+1,A542)</f>
        <v>13</v>
      </c>
      <c r="B543" s="1" t="s">
        <v>8</v>
      </c>
      <c r="H543" s="1">
        <f>IF(COUNTIF($I$2:I543,I543)=1,H542+1,H542)</f>
        <v>218</v>
      </c>
      <c r="I543" s="1" t="s">
        <v>96</v>
      </c>
      <c r="K543" s="1" t="str">
        <f>IFERROR(VLOOKUP(ROWS($J$2:J543),$H$2:$I$570,2,0),"")</f>
        <v/>
      </c>
    </row>
    <row r="544" spans="1:11" x14ac:dyDescent="0.2">
      <c r="A544" s="1">
        <f>IF(COUNTIF($B$2:B544,B544)=1,A543+1,A543)</f>
        <v>13</v>
      </c>
      <c r="B544" s="1" t="s">
        <v>8</v>
      </c>
      <c r="H544" s="1">
        <f>IF(COUNTIF($I$2:I544,I544)=1,H543+1,H543)</f>
        <v>218</v>
      </c>
      <c r="I544" s="1" t="s">
        <v>96</v>
      </c>
      <c r="K544" s="1" t="str">
        <f>IFERROR(VLOOKUP(ROWS($J$2:J544),$H$2:$I$570,2,0),"")</f>
        <v/>
      </c>
    </row>
    <row r="545" spans="1:11" x14ac:dyDescent="0.2">
      <c r="A545" s="1">
        <f>IF(COUNTIF($B$2:B545,B545)=1,A544+1,A544)</f>
        <v>13</v>
      </c>
      <c r="B545" s="1" t="s">
        <v>4</v>
      </c>
      <c r="H545" s="1">
        <f>IF(COUNTIF($I$2:I545,I545)=1,H544+1,H544)</f>
        <v>218</v>
      </c>
      <c r="I545" s="1" t="s">
        <v>96</v>
      </c>
      <c r="K545" s="1" t="str">
        <f>IFERROR(VLOOKUP(ROWS($J$2:J545),$H$2:$I$570,2,0),"")</f>
        <v/>
      </c>
    </row>
    <row r="546" spans="1:11" x14ac:dyDescent="0.2">
      <c r="A546" s="1">
        <f>IF(COUNTIF($B$2:B546,B546)=1,A545+1,A545)</f>
        <v>13</v>
      </c>
      <c r="B546" s="1" t="s">
        <v>4</v>
      </c>
      <c r="H546" s="1">
        <f>IF(COUNTIF($I$2:I546,I546)=1,H545+1,H545)</f>
        <v>219</v>
      </c>
      <c r="I546" s="1" t="s">
        <v>42</v>
      </c>
      <c r="K546" s="1" t="str">
        <f>IFERROR(VLOOKUP(ROWS($J$2:J546),$H$2:$I$570,2,0),"")</f>
        <v/>
      </c>
    </row>
    <row r="547" spans="1:11" x14ac:dyDescent="0.2">
      <c r="A547" s="1">
        <f>IF(COUNTIF($B$2:B547,B547)=1,A546+1,A546)</f>
        <v>13</v>
      </c>
      <c r="B547" s="1" t="s">
        <v>4</v>
      </c>
      <c r="H547" s="1">
        <f>IF(COUNTIF($I$2:I547,I547)=1,H546+1,H546)</f>
        <v>219</v>
      </c>
      <c r="I547" s="1" t="s">
        <v>42</v>
      </c>
      <c r="K547" s="1" t="str">
        <f>IFERROR(VLOOKUP(ROWS($J$2:J547),$H$2:$I$570,2,0),"")</f>
        <v/>
      </c>
    </row>
    <row r="548" spans="1:11" x14ac:dyDescent="0.2">
      <c r="A548" s="1">
        <f>IF(COUNTIF($B$2:B548,B548)=1,A547+1,A547)</f>
        <v>13</v>
      </c>
      <c r="B548" s="1" t="s">
        <v>4</v>
      </c>
      <c r="H548" s="1">
        <f>IF(COUNTIF($I$2:I548,I548)=1,H547+1,H547)</f>
        <v>219</v>
      </c>
      <c r="I548" s="1" t="s">
        <v>42</v>
      </c>
      <c r="K548" s="1" t="str">
        <f>IFERROR(VLOOKUP(ROWS($J$2:J548),$H$2:$I$570,2,0),"")</f>
        <v/>
      </c>
    </row>
    <row r="549" spans="1:11" x14ac:dyDescent="0.2">
      <c r="A549" s="1">
        <f>IF(COUNTIF($B$2:B549,B549)=1,A548+1,A548)</f>
        <v>13</v>
      </c>
      <c r="B549" s="1" t="s">
        <v>4</v>
      </c>
      <c r="H549" s="1">
        <f>IF(COUNTIF($I$2:I549,I549)=1,H548+1,H548)</f>
        <v>219</v>
      </c>
      <c r="I549" s="1" t="s">
        <v>42</v>
      </c>
      <c r="K549" s="1" t="str">
        <f>IFERROR(VLOOKUP(ROWS($J$2:J549),$H$2:$I$570,2,0),"")</f>
        <v/>
      </c>
    </row>
    <row r="550" spans="1:11" x14ac:dyDescent="0.2">
      <c r="A550" s="1">
        <f>IF(COUNTIF($B$2:B550,B550)=1,A549+1,A549)</f>
        <v>13</v>
      </c>
      <c r="B550" s="1" t="s">
        <v>14</v>
      </c>
      <c r="H550" s="1">
        <f>IF(COUNTIF($I$2:I550,I550)=1,H549+1,H549)</f>
        <v>220</v>
      </c>
      <c r="I550" s="1" t="s">
        <v>112</v>
      </c>
      <c r="K550" s="1" t="str">
        <f>IFERROR(VLOOKUP(ROWS($J$2:J550),$H$2:$I$570,2,0),"")</f>
        <v/>
      </c>
    </row>
    <row r="551" spans="1:11" x14ac:dyDescent="0.2">
      <c r="A551" s="1">
        <f>IF(COUNTIF($B$2:B551,B551)=1,A550+1,A550)</f>
        <v>13</v>
      </c>
      <c r="B551" s="1" t="s">
        <v>13</v>
      </c>
      <c r="H551" s="1">
        <f>IF(COUNTIF($I$2:I551,I551)=1,H550+1,H550)</f>
        <v>220</v>
      </c>
      <c r="I551" s="1" t="s">
        <v>112</v>
      </c>
      <c r="K551" s="1" t="str">
        <f>IFERROR(VLOOKUP(ROWS($J$2:J551),$H$2:$I$570,2,0),"")</f>
        <v/>
      </c>
    </row>
    <row r="552" spans="1:11" x14ac:dyDescent="0.2">
      <c r="A552" s="1">
        <f>IF(COUNTIF($B$2:B552,B552)=1,A551+1,A551)</f>
        <v>13</v>
      </c>
      <c r="B552" s="1" t="s">
        <v>4</v>
      </c>
      <c r="H552" s="1">
        <f>IF(COUNTIF($I$2:I552,I552)=1,H551+1,H551)</f>
        <v>220</v>
      </c>
      <c r="I552" s="1" t="s">
        <v>112</v>
      </c>
      <c r="K552" s="1" t="str">
        <f>IFERROR(VLOOKUP(ROWS($J$2:J552),$H$2:$I$570,2,0),"")</f>
        <v/>
      </c>
    </row>
    <row r="553" spans="1:11" x14ac:dyDescent="0.2">
      <c r="A553" s="1">
        <f>IF(COUNTIF($B$2:B553,B553)=1,A552+1,A552)</f>
        <v>13</v>
      </c>
      <c r="B553" s="1" t="s">
        <v>4</v>
      </c>
      <c r="H553" s="1">
        <f>IF(COUNTIF($I$2:I553,I553)=1,H552+1,H552)</f>
        <v>221</v>
      </c>
      <c r="I553" s="1" t="s">
        <v>48</v>
      </c>
      <c r="K553" s="1" t="str">
        <f>IFERROR(VLOOKUP(ROWS($J$2:J553),$H$2:$I$570,2,0),"")</f>
        <v/>
      </c>
    </row>
    <row r="554" spans="1:11" x14ac:dyDescent="0.2">
      <c r="A554" s="1">
        <f>IF(COUNTIF($B$2:B554,B554)=1,A553+1,A553)</f>
        <v>13</v>
      </c>
      <c r="B554" s="1" t="s">
        <v>8</v>
      </c>
      <c r="H554" s="1">
        <f>IF(COUNTIF($I$2:I554,I554)=1,H553+1,H553)</f>
        <v>221</v>
      </c>
      <c r="I554" s="1" t="s">
        <v>48</v>
      </c>
      <c r="K554" s="1" t="str">
        <f>IFERROR(VLOOKUP(ROWS($J$2:J554),$H$2:$I$570,2,0),"")</f>
        <v/>
      </c>
    </row>
    <row r="555" spans="1:11" x14ac:dyDescent="0.2">
      <c r="A555" s="1">
        <f>IF(COUNTIF($B$2:B555,B555)=1,A554+1,A554)</f>
        <v>14</v>
      </c>
      <c r="B555" s="1" t="s">
        <v>7</v>
      </c>
      <c r="H555" s="1">
        <f>IF(COUNTIF($I$2:I555,I555)=1,H554+1,H554)</f>
        <v>221</v>
      </c>
      <c r="I555" s="1" t="s">
        <v>48</v>
      </c>
      <c r="K555" s="1" t="str">
        <f>IFERROR(VLOOKUP(ROWS($J$2:J555),$H$2:$I$570,2,0),"")</f>
        <v/>
      </c>
    </row>
    <row r="556" spans="1:11" x14ac:dyDescent="0.2">
      <c r="A556" s="1">
        <f>IF(COUNTIF($B$2:B556,B556)=1,A555+1,A555)</f>
        <v>14</v>
      </c>
      <c r="B556" s="1" t="s">
        <v>6</v>
      </c>
      <c r="H556" s="1">
        <f>IF(COUNTIF($I$2:I556,I556)=1,H555+1,H555)</f>
        <v>222</v>
      </c>
      <c r="I556" s="1" t="s">
        <v>226</v>
      </c>
      <c r="K556" s="1" t="str">
        <f>IFERROR(VLOOKUP(ROWS($J$2:J556),$H$2:$I$570,2,0),"")</f>
        <v/>
      </c>
    </row>
    <row r="557" spans="1:11" x14ac:dyDescent="0.2">
      <c r="A557" s="1">
        <f>IF(COUNTIF($B$2:B557,B557)=1,A556+1,A556)</f>
        <v>14</v>
      </c>
      <c r="B557" s="1" t="s">
        <v>6</v>
      </c>
      <c r="H557" s="1">
        <f>IF(COUNTIF($I$2:I557,I557)=1,H556+1,H556)</f>
        <v>222</v>
      </c>
      <c r="I557" s="1" t="s">
        <v>226</v>
      </c>
      <c r="K557" s="1" t="str">
        <f>IFERROR(VLOOKUP(ROWS($J$2:J557),$H$2:$I$570,2,0),"")</f>
        <v/>
      </c>
    </row>
    <row r="558" spans="1:11" x14ac:dyDescent="0.2">
      <c r="A558" s="1">
        <f>IF(COUNTIF($B$2:B558,B558)=1,A557+1,A557)</f>
        <v>14</v>
      </c>
      <c r="B558" s="1" t="s">
        <v>6</v>
      </c>
      <c r="H558" s="1">
        <f>IF(COUNTIF($I$2:I558,I558)=1,H557+1,H557)</f>
        <v>223</v>
      </c>
      <c r="I558" s="1" t="s">
        <v>209</v>
      </c>
      <c r="K558" s="1" t="str">
        <f>IFERROR(VLOOKUP(ROWS($J$2:J558),$H$2:$I$570,2,0),"")</f>
        <v/>
      </c>
    </row>
    <row r="559" spans="1:11" x14ac:dyDescent="0.2">
      <c r="A559" s="1">
        <f>IF(COUNTIF($B$2:B559,B559)=1,A558+1,A558)</f>
        <v>14</v>
      </c>
      <c r="B559" s="1" t="s">
        <v>8</v>
      </c>
      <c r="H559" s="1">
        <f>IF(COUNTIF($I$2:I559,I559)=1,H558+1,H558)</f>
        <v>223</v>
      </c>
      <c r="I559" s="1" t="s">
        <v>209</v>
      </c>
      <c r="K559" s="1" t="str">
        <f>IFERROR(VLOOKUP(ROWS($J$2:J559),$H$2:$I$570,2,0),"")</f>
        <v/>
      </c>
    </row>
    <row r="560" spans="1:11" x14ac:dyDescent="0.2">
      <c r="A560" s="1">
        <f>IF(COUNTIF($B$2:B560,B560)=1,A559+1,A559)</f>
        <v>14</v>
      </c>
      <c r="B560" s="1" t="s">
        <v>8</v>
      </c>
      <c r="H560" s="1">
        <f>IF(COUNTIF($I$2:I560,I560)=1,H559+1,H559)</f>
        <v>223</v>
      </c>
      <c r="I560" s="1" t="s">
        <v>209</v>
      </c>
      <c r="K560" s="1" t="str">
        <f>IFERROR(VLOOKUP(ROWS($J$2:J560),$H$2:$I$570,2,0),"")</f>
        <v/>
      </c>
    </row>
    <row r="561" spans="1:11" x14ac:dyDescent="0.2">
      <c r="A561" s="1">
        <f>IF(COUNTIF($B$2:B561,B561)=1,A560+1,A560)</f>
        <v>14</v>
      </c>
      <c r="B561" s="1" t="s">
        <v>4</v>
      </c>
      <c r="H561" s="1">
        <f>IF(COUNTIF($I$2:I561,I561)=1,H560+1,H560)</f>
        <v>224</v>
      </c>
      <c r="I561" s="1" t="s">
        <v>128</v>
      </c>
      <c r="K561" s="1" t="str">
        <f>IFERROR(VLOOKUP(ROWS($J$2:J561),$H$2:$I$570,2,0),"")</f>
        <v/>
      </c>
    </row>
    <row r="562" spans="1:11" x14ac:dyDescent="0.2">
      <c r="A562" s="1">
        <f>IF(COUNTIF($B$2:B562,B562)=1,A561+1,A561)</f>
        <v>14</v>
      </c>
      <c r="B562" s="1" t="s">
        <v>11</v>
      </c>
      <c r="H562" s="1">
        <f>IF(COUNTIF($I$2:I562,I562)=1,H561+1,H561)</f>
        <v>225</v>
      </c>
      <c r="I562" s="1" t="s">
        <v>43</v>
      </c>
      <c r="K562" s="1" t="str">
        <f>IFERROR(VLOOKUP(ROWS($J$2:J562),$H$2:$I$570,2,0),"")</f>
        <v/>
      </c>
    </row>
    <row r="563" spans="1:11" x14ac:dyDescent="0.2">
      <c r="A563" s="1">
        <f>IF(COUNTIF($B$2:B563,B563)=1,A562+1,A562)</f>
        <v>14</v>
      </c>
      <c r="B563" s="1" t="s">
        <v>11</v>
      </c>
      <c r="H563" s="1">
        <f>IF(COUNTIF($I$2:I563,I563)=1,H562+1,H562)</f>
        <v>225</v>
      </c>
      <c r="I563" s="1" t="s">
        <v>43</v>
      </c>
      <c r="K563" s="1" t="str">
        <f>IFERROR(VLOOKUP(ROWS($J$2:J563),$H$2:$I$570,2,0),"")</f>
        <v/>
      </c>
    </row>
    <row r="564" spans="1:11" x14ac:dyDescent="0.2">
      <c r="A564" s="1">
        <f>IF(COUNTIF($B$2:B564,B564)=1,A563+1,A563)</f>
        <v>14</v>
      </c>
      <c r="B564" s="1" t="s">
        <v>11</v>
      </c>
      <c r="H564" s="1">
        <f>IF(COUNTIF($I$2:I564,I564)=1,H563+1,H563)</f>
        <v>225</v>
      </c>
      <c r="I564" s="1" t="s">
        <v>43</v>
      </c>
      <c r="K564" s="1" t="str">
        <f>IFERROR(VLOOKUP(ROWS($J$2:J564),$H$2:$I$570,2,0),"")</f>
        <v/>
      </c>
    </row>
    <row r="565" spans="1:11" x14ac:dyDescent="0.2">
      <c r="A565" s="1">
        <f>IF(COUNTIF($B$2:B565,B565)=1,A564+1,A564)</f>
        <v>14</v>
      </c>
      <c r="B565" s="1" t="s">
        <v>8</v>
      </c>
      <c r="H565" s="1">
        <f>IF(COUNTIF($I$2:I565,I565)=1,H564+1,H564)</f>
        <v>225</v>
      </c>
      <c r="I565" s="1" t="s">
        <v>43</v>
      </c>
      <c r="K565" s="1" t="str">
        <f>IFERROR(VLOOKUP(ROWS($J$2:J565),$H$2:$I$570,2,0),"")</f>
        <v/>
      </c>
    </row>
    <row r="566" spans="1:11" x14ac:dyDescent="0.2">
      <c r="A566" s="1">
        <f>IF(COUNTIF($B$2:B566,B566)=1,A565+1,A565)</f>
        <v>14</v>
      </c>
      <c r="B566" s="1" t="s">
        <v>8</v>
      </c>
      <c r="H566" s="1">
        <f>IF(COUNTIF($I$2:I566,I566)=1,H565+1,H565)</f>
        <v>225</v>
      </c>
      <c r="I566" s="1" t="s">
        <v>43</v>
      </c>
      <c r="K566" s="1" t="str">
        <f>IFERROR(VLOOKUP(ROWS($J$2:J566),$H$2:$I$570,2,0),"")</f>
        <v/>
      </c>
    </row>
    <row r="567" spans="1:11" x14ac:dyDescent="0.2">
      <c r="A567" s="1">
        <f>IF(COUNTIF($B$2:B567,B567)=1,A566+1,A566)</f>
        <v>14</v>
      </c>
      <c r="B567" s="1" t="s">
        <v>8</v>
      </c>
      <c r="H567" s="1">
        <f>IF(COUNTIF($I$2:I567,I567)=1,H566+1,H566)</f>
        <v>226</v>
      </c>
      <c r="I567" s="1" t="s">
        <v>56</v>
      </c>
      <c r="K567" s="1" t="str">
        <f>IFERROR(VLOOKUP(ROWS($J$2:J567),$H$2:$I$570,2,0),"")</f>
        <v/>
      </c>
    </row>
    <row r="568" spans="1:11" x14ac:dyDescent="0.2">
      <c r="A568" s="1">
        <f>IF(COUNTIF($B$2:B568,B568)=1,A567+1,A567)</f>
        <v>14</v>
      </c>
      <c r="B568" s="1" t="s">
        <v>4</v>
      </c>
      <c r="H568" s="1">
        <f>IF(COUNTIF($I$2:I568,I568)=1,H567+1,H567)</f>
        <v>226</v>
      </c>
      <c r="I568" s="1" t="s">
        <v>56</v>
      </c>
      <c r="K568" s="1" t="str">
        <f>IFERROR(VLOOKUP(ROWS($J$2:J568),$H$2:$I$570,2,0),"")</f>
        <v/>
      </c>
    </row>
    <row r="569" spans="1:11" x14ac:dyDescent="0.2">
      <c r="A569" s="1">
        <f>IF(COUNTIF($B$2:B569,B569)=1,A568+1,A568)</f>
        <v>14</v>
      </c>
      <c r="B569" s="1" t="s">
        <v>8</v>
      </c>
      <c r="H569" s="1">
        <f>IF(COUNTIF($I$2:I569,I569)=1,H568+1,H568)</f>
        <v>226</v>
      </c>
      <c r="I569" s="1" t="s">
        <v>56</v>
      </c>
      <c r="K569" s="1" t="str">
        <f>IFERROR(VLOOKUP(ROWS($J$2:J569),$H$2:$I$570,2,0),"")</f>
        <v/>
      </c>
    </row>
    <row r="570" spans="1:11" x14ac:dyDescent="0.2">
      <c r="A570" s="1">
        <f>IF(COUNTIF($B$2:B570,B570)=1,A569+1,A569)</f>
        <v>14</v>
      </c>
      <c r="B570" s="1" t="s">
        <v>11</v>
      </c>
      <c r="H570" s="1">
        <f>IF(COUNTIF($I$2:I570,I570)=1,H569+1,H569)</f>
        <v>226</v>
      </c>
      <c r="I570" s="1" t="s">
        <v>56</v>
      </c>
      <c r="K570" s="1" t="str">
        <f>IFERROR(VLOOKUP(ROWS($J$2:J570),$H$2:$I$570,2,0),"")</f>
        <v/>
      </c>
    </row>
  </sheetData>
  <sortState xmlns:xlrd2="http://schemas.microsoft.com/office/spreadsheetml/2017/richdata2" ref="H2:I570">
    <sortCondition ref="I2:I57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Data</vt:lpstr>
      <vt:lpstr>Sheet4</vt:lpstr>
      <vt:lpstr>Formula_Unique_Values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njeri</dc:creator>
  <cp:lastModifiedBy>KEVIN</cp:lastModifiedBy>
  <dcterms:created xsi:type="dcterms:W3CDTF">2022-08-01T12:59:41Z</dcterms:created>
  <dcterms:modified xsi:type="dcterms:W3CDTF">2022-08-22T13:54:55Z</dcterms:modified>
</cp:coreProperties>
</file>